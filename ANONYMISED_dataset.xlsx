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hayneveling/Documents/Uni stuff/Capstone /write up/Appendix/push to git/"/>
    </mc:Choice>
  </mc:AlternateContent>
  <xr:revisionPtr revIDLastSave="0" documentId="8_{60E6A7FA-538F-9549-B6E9-7BB569DFC5C7}" xr6:coauthVersionLast="47" xr6:coauthVersionMax="47" xr10:uidLastSave="{00000000-0000-0000-0000-000000000000}"/>
  <bookViews>
    <workbookView xWindow="0" yWindow="500" windowWidth="28660" windowHeight="163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2"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2" i="1"/>
  <c r="AB15" i="1" l="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14" i="1"/>
  <c r="AB13" i="1"/>
  <c r="AB6" i="1"/>
  <c r="AB12" i="1"/>
  <c r="AB5" i="1"/>
  <c r="AB11" i="1"/>
  <c r="AB4" i="1"/>
  <c r="AB9" i="1"/>
  <c r="AB7" i="1"/>
  <c r="AB8" i="1"/>
  <c r="AB10" i="1"/>
  <c r="AB3" i="1"/>
  <c r="AB2" i="1"/>
</calcChain>
</file>

<file path=xl/sharedStrings.xml><?xml version="1.0" encoding="utf-8"?>
<sst xmlns="http://schemas.openxmlformats.org/spreadsheetml/2006/main" count="703" uniqueCount="553">
  <si>
    <t>ID</t>
  </si>
  <si>
    <t>Group</t>
  </si>
  <si>
    <t>P26</t>
  </si>
  <si>
    <t>A</t>
  </si>
  <si>
    <t>P16</t>
  </si>
  <si>
    <t>P67</t>
  </si>
  <si>
    <t>P7</t>
  </si>
  <si>
    <t>P35</t>
  </si>
  <si>
    <t>P21</t>
  </si>
  <si>
    <t>P77</t>
  </si>
  <si>
    <t>P72</t>
  </si>
  <si>
    <t>P62</t>
  </si>
  <si>
    <t>P34</t>
  </si>
  <si>
    <t>P39</t>
  </si>
  <si>
    <t>P60</t>
  </si>
  <si>
    <t>P48</t>
  </si>
  <si>
    <t>P5</t>
  </si>
  <si>
    <t>P3</t>
  </si>
  <si>
    <t>P8</t>
  </si>
  <si>
    <t>P54</t>
  </si>
  <si>
    <t>P53</t>
  </si>
  <si>
    <t>P11</t>
  </si>
  <si>
    <t>P19</t>
  </si>
  <si>
    <t>P12</t>
  </si>
  <si>
    <t>P14</t>
  </si>
  <si>
    <t>P49</t>
  </si>
  <si>
    <t>P22</t>
  </si>
  <si>
    <t>P23</t>
  </si>
  <si>
    <t>P57</t>
  </si>
  <si>
    <t>P74</t>
  </si>
  <si>
    <t>P52</t>
  </si>
  <si>
    <t>P31</t>
  </si>
  <si>
    <t>P37</t>
  </si>
  <si>
    <t>P56</t>
  </si>
  <si>
    <t>P20</t>
  </si>
  <si>
    <t>P73</t>
  </si>
  <si>
    <t>P68</t>
  </si>
  <si>
    <t>P42</t>
  </si>
  <si>
    <t>P13</t>
  </si>
  <si>
    <t>B</t>
  </si>
  <si>
    <t>P6</t>
  </si>
  <si>
    <t>P61</t>
  </si>
  <si>
    <t>P63</t>
  </si>
  <si>
    <t>P2</t>
  </si>
  <si>
    <t>P69</t>
  </si>
  <si>
    <t>P9</t>
  </si>
  <si>
    <t>P50</t>
  </si>
  <si>
    <t>P17</t>
  </si>
  <si>
    <t>P10</t>
  </si>
  <si>
    <t>P36</t>
  </si>
  <si>
    <t>P59</t>
  </si>
  <si>
    <t>P33</t>
  </si>
  <si>
    <t>P43</t>
  </si>
  <si>
    <t>P45</t>
  </si>
  <si>
    <t>P55</t>
  </si>
  <si>
    <t>P71</t>
  </si>
  <si>
    <t>P28</t>
  </si>
  <si>
    <t>P15</t>
  </si>
  <si>
    <t>P30</t>
  </si>
  <si>
    <t>P18</t>
  </si>
  <si>
    <t>P1</t>
  </si>
  <si>
    <t>P44</t>
  </si>
  <si>
    <t>P41</t>
  </si>
  <si>
    <t>P76</t>
  </si>
  <si>
    <t>P65</t>
  </si>
  <si>
    <t>P25</t>
  </si>
  <si>
    <t>P32</t>
  </si>
  <si>
    <t>P40</t>
  </si>
  <si>
    <t>P58</t>
  </si>
  <si>
    <t>P27</t>
  </si>
  <si>
    <t>P24</t>
  </si>
  <si>
    <t>P70</t>
  </si>
  <si>
    <t>P75</t>
  </si>
  <si>
    <t>P4</t>
  </si>
  <si>
    <t>Pre_LCN_1</t>
  </si>
  <si>
    <t>Post_LCN_1</t>
  </si>
  <si>
    <t>Pre_LCN_2</t>
  </si>
  <si>
    <t>Post_LCN_2</t>
  </si>
  <si>
    <t>Pre_LCN_3</t>
  </si>
  <si>
    <t>Post_LCN_3</t>
  </si>
  <si>
    <t>Pre_LCN_4</t>
  </si>
  <si>
    <t>Post_LCN_4</t>
  </si>
  <si>
    <t>Pre_LCN_5</t>
  </si>
  <si>
    <t>Post_LCN_5</t>
  </si>
  <si>
    <t>Pre_LCN_score</t>
  </si>
  <si>
    <t>blackbird_senses</t>
  </si>
  <si>
    <t>robin_emotions</t>
  </si>
  <si>
    <t>blue_tit_emotions</t>
  </si>
  <si>
    <t>merlin_sense</t>
  </si>
  <si>
    <t>magpie_meaning</t>
  </si>
  <si>
    <t>3_things_beauty</t>
  </si>
  <si>
    <t>perspective_compassion</t>
  </si>
  <si>
    <t>photo_beauty</t>
  </si>
  <si>
    <t>greenfinch_compassion</t>
  </si>
  <si>
    <t>local_meaning</t>
  </si>
  <si>
    <t>Task_engagement</t>
  </si>
  <si>
    <t>matched_pair</t>
  </si>
  <si>
    <t xml:space="preserve">Birds! The bb song did feel calming and maybe a little tingly if I had to pick a sensation, after listening to the clip its easier noticing the ones singing outside </t>
  </si>
  <si>
    <t>Hello local robin. I did not eat any worms today, or any breakfast, I'm very jealous because I had to go into a meeting when I woke up. It was sunny but I had to stay inside! I had a good lunch though and now I've had a break I agree it is a good day to be alive. The letter made me feel retrospective about my day and I appreciated the call to find something to be grateful for.</t>
  </si>
  <si>
    <t>While I haven't experienced the joy of catching a good worm, I do love feeling the warmth of the sun on my skin. Today is a good a day as any to be alive, just got to find the reasons :) The letter made me feel more aware of the constant presence of non-human creatures around me. I always love it when I see a robin or some other creature 'in the wild', but I never thinkg about how I am visible to them too.</t>
  </si>
  <si>
    <t xml:space="preserve">Listening to this gives me a sense of calmness. I regularly go hiking so hearing those sounds gave my body déjà vu of being on a walk through a forest and the smell of fresh air. I'm always so caught up on and around technology that it sometimes makes me feel so overwhelmed of the need to complete more work. Hearing nature and being reminded of my time outdoors lets my body unwind as it just gives me a realisation that theres always so much life around me and to take a break from being on my phone and social media. </t>
  </si>
  <si>
    <t>I love how simple and gracious you feel by catching your worm. With so much continuity going on around me and my hectic schedule, it makes me realise I need to be more like you, Robin and no matter how big or small my achievements are; I'm happy to be me and alive to experience new adventures.</t>
  </si>
  <si>
    <t>I felt calmer and my heart rate went down</t>
  </si>
  <si>
    <t>The letter made me feel warm and hopeful as it reminded me there is always a new start to every day, no matter how bad the day before was. It also made me feel warm in the sense that I am not alone; nature is always there.</t>
  </si>
  <si>
    <t>I felt more at peace. Like I've just woken up after camping. I felt my breaths felt calmer and made me want to nap</t>
  </si>
  <si>
    <t xml:space="preserve">I started breathing more consciously - deeply and rhythmically - and my mind found a bit of clarity and enabled me to focus. Because of the breathing, my muscles also relaxed and my heart rate slowed </t>
  </si>
  <si>
    <t>Ah robin! So nice to know you've been near - I heard you in the trees over the weekend and thought you were close. I've been a little stressed recently but I got a chance to take some time out and relax over the last few days, I've got my health and my heart is full, so i'm grateful to be awake and alive and moving through time. I rescued a worm from a fire on sunday - I hope it's not the one you found!</t>
  </si>
  <si>
    <t>nothing</t>
  </si>
  <si>
    <t>If you are alive… then every day is a good day. It's just that some days are better than or different to others. Enjoy each moment as they come and make the most with what you have. The next is unknown.</t>
  </si>
  <si>
    <t>I noticed my body relaxing and mund relaxing and more so it felt safe to do so as it reminds me the times I would seek for their song as I gew up around their music in nature.</t>
  </si>
  <si>
    <t>I have been hearing you sing from the moment I opened my eyes, while having my breakfast and while reading my book and did think to myself as well what a good day to be alive.</t>
  </si>
  <si>
    <t xml:space="preserve">Absolutely there is soemthing special about a day that feels this alive. Thanks for the little burst of joy local robin! It was very whimsical and sweet, it made me smile and feel more positiive for the day ahead. </t>
  </si>
  <si>
    <t xml:space="preserve">My breathing slowed a lot, and I started to breathe more deeply. My eyes initially closed but then my mind started wondering off so to stay focused I opened them again and began to watch what was happening on the screen. I did start to get restless and fidgety whilst sitting and listening for a minite which probably isn't a good thing! </t>
  </si>
  <si>
    <t>I think its quite sweet that you find joy in small things like the sun just being there or finding a worm and actually these aren't small things at all if you see the real importance of them, we wouldn’t be able to get through the day without food or warmth and I forget that often, so thanks for reminding me. So yes, I do agree, it is a good day.</t>
  </si>
  <si>
    <t>it was very calming sound, my body felt completely relaxed and destressed!</t>
  </si>
  <si>
    <t>I think I've probably taken walkign and spending time in nature for granted, not everyone has the liberty to use all their body parts and is not near a park or has a garden. A perfectly good day to be alive is when the sun is out, greenery is everywhere and I'm around good people. I felt curious about what wildlife thinks when they observe humans.</t>
  </si>
  <si>
    <t>It was calming, I felt more grounded, my breathing was steady and my shoulders were relaxed</t>
  </si>
  <si>
    <t>I found myself suddenly paying attention to my breathing, for the first time this morning - my breaths slowed and were deeper. I felt more relaxed and found myself suddenly being in a state of "paying attention", if that makes sense. I think it was because for the first time this morning I wasn't in control of what I was experiencing (i.e the irregular rhythms of the bird tweeting, versus locked tempos and structures of songs i've been listening to). I also found myself laughing a little at the absurdity of minfully listening to birds tweeting, while my laptop was glaring at me.</t>
  </si>
  <si>
    <t>Dear Robin, you seem incredibly observant and very grateful for the simplest things. The fact you described the worm you found as wonderful feels hyperbolic but somehow not insincere. I genuinely believe that you're grateful for today and that inspires me to adopt the same attitude.</t>
  </si>
  <si>
    <t>Calm, sleepy and a slight warmth in my chest</t>
  </si>
  <si>
    <t>Not much, although I suppose I have been taking the good weather and convenience of modern life for granted; I can't imagine the ordeal of having to hunt/forage for my own food</t>
  </si>
  <si>
    <t>the bird song made me feel connected to a wider world and I felt aware of my surroundings.</t>
  </si>
  <si>
    <t>Hello Robin. I was lost in my own thoughts then I saw you hopping and fluttering with that curious but happy look in your eyes. Thanks for being there not judging me but being my friend. You're right, today is a good day.</t>
  </si>
  <si>
    <t xml:space="preserve">I didn't notice any particular change in my body! </t>
  </si>
  <si>
    <t>my attention was turned towards the sound and to my head rather than scattered. The fact that there are many of them makes you listen out for different ones.</t>
  </si>
  <si>
    <t>I agree Mr Robin it is a great day to be alive as any other. The weather isnt so great here but on the bright side, I actually heard one of you! I do hope the sun comes out today and It gets a bit warmer because I'm a bit cold right now but I know I'll be okay when I get to work.</t>
  </si>
  <si>
    <t xml:space="preserve">While listening to the blackbirds song I instinctively paused, stopped doing whatever I was doing and just started looking around and enjoying the sound. For context, I was waiting for my coffee in a café and I was fidgeting a bit and trying to entertain myself while to not look at my phone. </t>
  </si>
  <si>
    <t>Any day is a perfectly good day to be alive, but sometimes feel like it is so just because there is no alternative. I do feel instantly happy waking up on a sunny day, but can also very easily have a whole bad day ebcause I don't manage to wake up early and rested.</t>
  </si>
  <si>
    <t xml:space="preserve">Blackbird songs always remind me of summer holidays my grandparents as they often had one in their garden so that was very nostalgic! I found that very relaxing and peaceful. I felt my shoulders relaxing and was more aware of my breathing. </t>
  </si>
  <si>
    <t>I noticed that my breathing felt a bit slower and the sound was quite calming.</t>
  </si>
  <si>
    <t>A bit of a still mind whilst listening to the clip</t>
  </si>
  <si>
    <t xml:space="preserve">Became aware of tension in my stomach and neck which then lessened, I began relaxing, then felt tense again in my stomach but less so and felt that the song was the song was the source of my discomfort, turned down the volume on my headphones and physically relaxed more deeply. </t>
  </si>
  <si>
    <t xml:space="preserve">maybe its because I've been having a difficult day and I feel rather dysregulated but I immediately got goosebumps and tingles all over my body. When listening in and just focusing on the bird song I could feel myself relax - my shoulders dropped and my spine elongated without any conscious effort on my part. </t>
  </si>
  <si>
    <t>I closed my eyes, took a deep breath initally and then continued to breathe at a calm pace. I smiled as I listened and felt happy. We have a pair of blackbirds regularly visiting the garden (maybe nesting nearby) so I will listen out for their song now.</t>
  </si>
  <si>
    <t xml:space="preserve">I find it very uplifting. It takes my mind away a little bit. It reminds me of sunny mornings waking up in my room at my parents house. </t>
  </si>
  <si>
    <t xml:space="preserve">By the end of the audio my breathing had slowed and my body had relaxedd. I felt calmer but also more awake. I listened to the audio with my eyes closed and it made me smile a little! </t>
  </si>
  <si>
    <t>I feel like mu body relaxed a little, and if I had my eyes shut I felt like I was outside in a forest. I certainly didn’t get bored listening to it, and felt like the track ran out too quickly (some tracks seem too repetitive but this had a nice amount of variation). I also feel like it quietened my mind. As in, every time my mind would start to drift the irregiular song would distract me from that. It's kind of like, I can consciously think of other things but the background unconscious thought pop-ups don't happen as much.</t>
  </si>
  <si>
    <t>I definitely felt a lot more calm like physically I was able to relax, and I felt the tension in my shoulders decrease a bit and my breathing became a bit more slow and deep</t>
  </si>
  <si>
    <t>I have not really been thinking the same today but hearing it from you makes me think I have become trapped in my own headspace. There is always a reason to find good in a day even if it's for the sake of just getting through it. We must try to find the good in all the things. Often it's a reminder from outsiders - like robins on whatsapp - that really help to nudge that perspective.</t>
  </si>
  <si>
    <t>Yeah I think so too, I feel like I need to be more observant like you so that I can appreciate the time I have and the little aspects of my surroundings like thesun which we don't get too often in england, I can do so by maybe going on more walks or not staying glued to my screen as much. we never know when we might get the chance to experience these little things again.</t>
  </si>
  <si>
    <t>The Sun certainly does well to brighten up your day. I enjoy a little cloudier day too, as I don't overheat. Today Is a great day, someone helped me when I was struggling and improved the rest of the day. The letter made me feel a little better. It was a good opportunity to pause, look ack and reflect on the good things happening around me.</t>
  </si>
  <si>
    <t xml:space="preserve">I've been watching you too as you sit on my garden fence waiting to see if I move some pots and expose the worms you enjoy for breakfast! I took my dog for a walk in the woods, the sun shone and I really listened to the birdsong and agree it feels good to be alive. </t>
  </si>
  <si>
    <t>As I hear the birds chirping, I can only agree with you. The letter made me chuckle and feel whimsical. Put a little smile in the corner of my mouth.</t>
  </si>
  <si>
    <t xml:space="preserve">It made me think that we are always being observed throughout the day without realising it and how we might be interpreted. It was interesting that robin pointed out specifically 'this morning the sun came out and I found the most wonderful worm' - the sun comes out every morning so theres a new possibility of finding something wonderful everyday. </t>
  </si>
  <si>
    <t xml:space="preserve">It is, amazing at how just by altering our mindset, and looking for positives in our daily lives - the things we overlook/take for granted become the best bits! My morning coffee is definitely part of a ritual I have in waking up to the world. I don't love the word perfect, I don't think a perfect day exists howeever if I did have to describe one it would be waking up with some beautiful nature around me, seeing people I love, eating nice food and just being appreciative of what I have. Sometimes the imperfect parts of my day turn out to be good too. -like things i don't plan for surprising me. Maybe perfect doesnt have to carry so much weight, in the spirit of the robin maybe perfect is just feeling some sun on my face. Being alive is imperfectly eprfect. The letter made me feel calm. Especially as I'm reading it at the end of the day and I didn't have the most productive day its made me more at peace with that. Thank you robin. </t>
  </si>
  <si>
    <t xml:space="preserve">I felt some tension leave my neck, shoulders and upper back. My breathing slowed a bit and I felt a bit sleepy/relaxed afterwards. </t>
  </si>
  <si>
    <t>I agree, every day is a perfectly good day to be alive even if it sometimes doesn’t feel it. I have been watching you and your family eat in my garden and it brings me a lot og joy, especially today when I havent always felt my best. The letter was sweet, it made me chuckle and it made me think og the robin family that live in my garden.</t>
  </si>
  <si>
    <t xml:space="preserve">The corners of my mouth started going upwards and I feel happier! Reminded me of a nice spring day when you're laying  in the grass looking at the clouds </t>
  </si>
  <si>
    <t xml:space="preserve">Yes, I do, its not raining so that’s always nice! When I got in my car my favourite song started playing. I also had almost no traffic while driving to work and easily found a good parking spot. It was indeed a good day to be alive! </t>
  </si>
  <si>
    <t xml:space="preserve">I definitely think it’s a good day to be alive - the sun is out, I can smell freshly cut grass and elderflowers blossoming (two of my favourite smells), and I'm about to cook a meal for myself and my friends. I am grateful that summer is approaching and that we have delicious food to share with others! The letter made me feel cared for and reminded me that it is important to stop and appreciate the little things. </t>
  </si>
  <si>
    <t xml:space="preserve">I sadly wasn't able to spot any blue tits on my morning walk, but it made me a little laugh and made me smile to hear that blue tits are resourceful (and cheeky) enough to have learnt to take off foil tops on milk bottles. </t>
  </si>
  <si>
    <t xml:space="preserve">Hello Robin, didn't you notice you watching me, will look out for you next time. I do think so too! Did you see me cycling today? Would you like to fly to the side of me next time I cycle? I enjoyed reading the letter and had fun engaging my imagination. </t>
  </si>
  <si>
    <t xml:space="preserve">I wasn't able to spot any today unfortunately. But learning this fact sort of enlightened meas I feel like I'm surrounded by everyday objects and occurences that I've never really delved into, like why do squirrels hide their food in the ground or why do I hear a lot of bird noises in the morning but not miuch in the evening. </t>
  </si>
  <si>
    <t>I went on a walk earlier and I really tried but I just saw the usual combination of pigeons, magpies ducks and geese. I did see what I thought was a cormorant though.I didn’t spot him, but I have seen one recently on Sunday I think. I loved finding out that they hang upside down from branches. gives them more of a personality and I imagine them to be like tiny bats. I think i've heard some variation of the milk bottle story but I didnt know they were the second most popular bird! (I thought it'd be pigeons or magpies at the top!) I wish they were as visibly populous as pigeons and magpies are. I love seeing tiny birds.</t>
  </si>
  <si>
    <t xml:space="preserve">I agree, it is a perfectly good day ot be alive. The weather has been really nice lately (which im sure the robins will appreciate too) and I treated myself a bit at lunch. To me a perfectly good day means thaty everything has gone smoothly, something good has happened or I'm just feeling very content and happy. </t>
  </si>
  <si>
    <t xml:space="preserve">I didn't see one when I was out today but I'll keep an eye out In the future. I didn't realise how tiny they are. They must be so smart to be able to be able to get the lids of milk bottles! </t>
  </si>
  <si>
    <t>I havent managed to see one unfortunately but I really liked the little fact and the fact that there are different types of blue tits. Also how they're so small and cute</t>
  </si>
  <si>
    <t>I didn't see any tits today :( I did already know this fact though!</t>
  </si>
  <si>
    <t>So cute! I didn't spot any today</t>
  </si>
  <si>
    <t xml:space="preserve">I did not see the little fellow but noticed all the other birds and life in my city. Even the humble pigeon has beauty. </t>
  </si>
  <si>
    <t>Post_LCN_score</t>
  </si>
  <si>
    <t>I did not see a blue tit today. I did see some other birds in my garden. It was a fun fact to learn, thank you!</t>
  </si>
  <si>
    <t>Heard a few birds, eurasian blackbird, wren, blue tit, and european robin.  Felt relaxed and kind of calm. Happy to hear these sounds actually giving an impression of tranquility amidst the noice generated by human beings.</t>
  </si>
  <si>
    <t xml:space="preserve">No luck again for me this morning, but I will try again after work But I found it very cool finding the birds that I found last week using this app. </t>
  </si>
  <si>
    <t xml:space="preserve">It was lovely to hear old friends like the common wood pigeon. A song that I have heard all my life. </t>
  </si>
  <si>
    <t xml:space="preserve">Definitely! Being alive is an amazing thing. Each day is a gift! </t>
  </si>
  <si>
    <t xml:space="preserve">hey, went to play tennis in the park yesterday afternoon but sadly couldn’t find one. I saw some other nice looking birds however! The fact is really cute, didn't know they were so light. </t>
  </si>
  <si>
    <t xml:space="preserve">I did spot one even though it was kind of hard due to their size (and because I'm a bit blind) but learning this fact really grounded me. Reminded me how intellectual amd tasteful they are well as pulling me away from anthropocentric perception. </t>
  </si>
  <si>
    <t>I didn’t see a blue tit yesterday although they are often in our garden. I loved hearing they learnt to peel the foil of milk bottles 😄 It’s amazing how animals adapt to the changing environment!</t>
  </si>
  <si>
    <t xml:space="preserve">So exciting to hear so many different birds. This was the second part of my walk this morning around Alexandra Palace! Plus Mallards and Rock Pigeons. I used this app a few years ago and it wasn’t great but it is much better now - especially with the photos that will really help me identify birds and their songs. Made me feel very happy this morning. </t>
  </si>
  <si>
    <t>I found discovering the birds to be quite fun and interesting. Although the area I live in is quite congested there’s still so much wildlife around and I’m excited to use this app more frequently when I go hiking and see what birds I can find.</t>
  </si>
  <si>
    <t>I didn’t spot that bird today unfortunately but learning about that fact was quite interesting and I’m glad we’re as humans are continuing to take appreciation for other species. Birds can teach us so much from communication to how they navigate the environment so spending time witnessing their life is worthwhile to me</t>
  </si>
  <si>
    <t>I was surprised by all the different bird species, in my area, some I've seen, others seem to be more hidden. They all have distinct sounds, but very calming</t>
  </si>
  <si>
    <t>I did not spot him yesterday, although that was mostly a failing on my part. Blue tits are a frequent goer of my garden and we often see them hopping about. There was one that kept tapping on the window for a week. It is hard to believe they only weigh a £1 coin. I shall have to pay more attention to their acrobatics in the future, as it is really interesting that they peeled the foil tops off. Learning this fact did make me smile and consider all the times I have seen blue tits and how lovely and lively their behaviour was.</t>
  </si>
  <si>
    <t xml:space="preserve">I did not spot one today but to be completely honest I forgot! I did however spot this excellent large moth which was fun. The fact about the blue tits made me smile. </t>
  </si>
  <si>
    <t>I didn't spot a blue tit but I'll definitely be paying closer attention from now onwards! They have always been a favourite since I was young, as they always seem so friendly and gentle, and of course the blue head always stood out! I never knew they were so sneaky :)</t>
  </si>
  <si>
    <t>I don’t think the birds where that near to me so it was pretty cool that it was picked up by Merlin from far away. But was also suprised at how many birds it recognised within 2 minutes, I didn’t think there would be so many different types around</t>
  </si>
  <si>
    <t>I didn’t see any during the day. I was surprised that they weigh so little.</t>
  </si>
  <si>
    <t>A sense of calm. I think there is something inherently calming about birds specifically. Their presence signals a certain lack of danger.</t>
  </si>
  <si>
    <t>I couldn't get themerlin App to work yesterday. It seems the birds where to quiet to be recognised</t>
  </si>
  <si>
    <t>I haven't seen a magpie! But looking around for one made me slow down and peak through trees. I have never thought deeply about magpies before. So I guess learning about history has changed it</t>
  </si>
  <si>
    <t>I did try it, and mainly felt a little silly, besides how would we know if it's a Mr or Mrs Magpie, maybe overthinking it. I did see a couple magpies and knowing the history definitely changed my perspective of magpies, had no idea how significant and respected they were. I have never in recent memory seen someone greet a magpie but for some reason the concept did ring a bell</t>
  </si>
  <si>
    <t>I didn't have a chance to do this, but I did see a few tiny birds flying around, some baby goslings and a heron!</t>
  </si>
  <si>
    <t>Withdrawn - delete data</t>
  </si>
  <si>
    <t>I was amazed at how quickly the app identified these birds, and it made me excited to realise that these three species were around me, even if they were too high up in the trees for me to see them</t>
  </si>
  <si>
    <t>Sadly, I didn't see any magpies on my morning walk, but hearing about the salute being a greeting between equals makes me see magpies as having more kinship with humans than I previously realised</t>
  </si>
  <si>
    <t>1) the way that crows pad quite delicately when they are walking through grass. 2) the way that crows bounce their heads forwards and backwards, and the way they tend to look all around them. 3) the gracefulness of a robin taking flight</t>
  </si>
  <si>
    <t>I saw a magpie yesterday and imagine it found somewhere cosy to sleep, like a nook in a nearby tree, in one of the higher-up branches. I think it spent the day roaming around, looking for things to feed on, but not in an urgent way - more so in a way where it was confident that it would find something. From above, the magpie would view my street as quite drab, and would likely fixate on the few trees which line the street</t>
  </si>
  <si>
    <t xml:space="preserve"> I'm glad that i now know this information about birdfeeding, although it does make me sad to hear that well-intentioned people should no longer engage in the act of love of putting out seeds and peanuts for local birds. It reminds me of the same way that people often like to feed bread to pigeons and ducks, and yet (as far as I know), this is actually bad for the birds. It's a prime example of where we want to do something to help, but where we might often do those things because it makes us feel good, rather than being beneficial to those we are claiming to help</t>
  </si>
  <si>
    <t>It sounds weird to say, but watching the bird for a while, I couldn't help but find its poise and posture to be graceful and beautiful</t>
  </si>
  <si>
    <t>The presence of the Peregrine Falcon and the Red Kite surprised me, as in my mind, these aren't the most common birds to find locally!</t>
  </si>
  <si>
    <t>It was a bit like discovering a new world when listening to the sounds and watching the app identify what bird was singing. I really enjoyed that I even recognised one now that I have learned about the blackbird song. This was listening outside my window, and it will definitely give me a new appreciation for what birds are out there when I hear them now. It's also interesting to see the hidden birds, the ones I don't see (unlike the tit) - I didn't know that there were thrushes out there. Doing this reminded me of home too, as my family used to do this to see which birds were around us in the summer, so this brought back that childhood curiosity.</t>
  </si>
  <si>
    <t>I sadly did not see a magpie yesterday. I did know the rhyme, and have been saluting magpies for most of my life. It is really interesting to hear about the history, and it sounds much more appealing to great them as an equal rather than a formal salute. 'Good morning, Mr Magpie' is much more friendly, fun and kind. I think it does, to some extent, change how I see magpies, from an omen to a friendly meeting.</t>
  </si>
  <si>
    <t>I found out yesterday is that the way you can tell a great tit apart from others is its flight pattern. When they fly in a straight line, they go up and down (kinda like a sine wave). It was fun when I saw it, as it is a kinda bouncy looking flight.On the topic of flight, I also love seeing birds of prey flying. We have a bunch a red kites and buzzards in Wales and I always enjoy seeing them circling in the air currants. I can only imagine the closest things humans have is paragliding, which I would love to try someday. It always amazed me watching them stay up without needing to flap their wings, and just gliding on the rising heat. Finally, I have always loved owls. I think I may just be the way their face looks, I find their expressions so interesting and expressive. I grew up loving to raise an eyebrow disapprovingly or throw an evil glare, and I think owls have that same vibe. Playful scorn.</t>
  </si>
  <si>
    <t>The other day I saw a pied wagtail while on the walk to the shops. When I think about little birds like this I think they might live in a hedge. I used to see this in the country, as hedges are good places where it is easy to build a nest, and only the small creatures can get past the web of branches. When I imagine that in London, I think of the hedge I walked past around the corner from where I saw the wagtail. It must be a noisy home to live there, next to a dual carriageway, the hedge and floor covered in litter. I guess at least the litter might include some food at times, however, they wouldn't want to eat the wrong thing. While thinking on this task for the last couple days, I became much more aware of the lives going on that we don't often even think/know about. I noticed how rubbish that might only 'look bad' to me, might be a hazard to a birds way of living.</t>
  </si>
  <si>
    <t>As I couldn't go out, I was lucky enough to see one out the window in the garden. This is a blackcap, obviously named for the black feathers on their heads. I can see why it was named this, as the rest of the colouring is a plain pale brown, and the cap is rather striking in comparison. What struck me as beautiful was how stylish and friendly looking it was.</t>
  </si>
  <si>
    <t>It is sad to see the impact that we can have on the natural world, even when we have good intentions. I think it will definitely be something I will mention to people who do feed birds</t>
  </si>
  <si>
    <t>I was a little surprised to see the European goldfinch was in my area, as I haven't seen it about myself. What surprised me the most was how few were reported in my area, as I have personally seen many more than were in the list. It does make me wonder whether I live in a bit of a green spot thing, where the birds can go on their way through. (An example is the blackcap that I saw, which wasn't on the list)</t>
  </si>
  <si>
    <t>It made me feel calm, light and relaxed :)</t>
  </si>
  <si>
    <t>1. Hello Mr Robin. I see you everyday in the morning on the balcony. Today is definitely a good day to be alive, there is lots to look forward to. 
2. Awkward, tbh 😅😅</t>
  </si>
  <si>
    <t>I went to the park on Sunday but didn't see any blue tit's, not sure if I ever have! Just many pigeons. But it was nice to make an effort to look for you!</t>
  </si>
  <si>
    <t>So I grew up doing this and still do, but never knew this history! I enjoyed seeing them as my equals rather than an opportunity to dispel bad luck!</t>
  </si>
  <si>
    <t>I admire how resilient you are in your concrete jungle home, how you move so quickly with grace and how curious you are</t>
  </si>
  <si>
    <t>Was thinking about the Swan.....like the white colour...looks.so pure. Calm. and so elegant when you see them on on a lake....enjoyable to see their movement....up and down they lake.   Like also the fact that they can get aggressive to defend their territory...</t>
  </si>
  <si>
    <t>Day 7.....can't think of any other birds than the Pailles-en-queue (straw tail).....  Nested on cliff's egdes, steep mountain slopes....all the hard to reach places.....to keep them and their babies..safe.   They must a dominant view of their immediate environment....that is probably always battered by the wind and other hazardous weather conditions.    Hunting for food is a challenge they have to face everyday to ensure survival....</t>
  </si>
  <si>
    <t>Its good to know so we are better prepared and more informed.  Always thought most type of feed could be used all year round...fir most type of birds.  It is very informative to learn how sensitive the whole ecosystem can be affected or enhanced by simple actions.....if only we knew...</t>
  </si>
  <si>
    <t>House sparrow....never seen one in London....or never remember seeing one.  Thought it was a common tropical bird,,,,,</t>
  </si>
  <si>
    <t>When the sounds were being made, the picture of the bird the sound was coming from pulsed which helped me identify which bird was speaking and when. This was very interesting as I was able to put a face to the sounds and also helped me realise that there is a large diversity of birds in London (not only pigeons and crows).</t>
  </si>
  <si>
    <t>We get quite a few magpies in our garden since we've set out a bird bath, some drink the water and some bath in it. Saying good morning to a bird made me feel very silly but I guess it helped me realise that birds are our equals, they aren't just side characters in our lives but animals who have their own lives in the sense that they have families, they have work foraging for food, they travel and build homes (nests - I'm assuming they do that since they are birds) alot like we do. Knowing the history of the magpies did change how I see them, they became a lot more familiar in a way that we become familiar with people just through conversation, if you get what I mean, I don't know if I'm saying it properly 🧍‍♀️.</t>
  </si>
  <si>
    <t>Eurasian blue tits have a really beautiful azure blue crown, they have amazing acrobatic skills as they hang upside down some branches to access food, and can see in ultraviolet light</t>
  </si>
  <si>
    <t>A magpie since we have so many, they slept in my neighbours tree, and was able to see everyone's gardens, some have grass and weed growing, some are just concrete and some had children playing in them. 
When I tried to see the world from the birds perspective it made me feel like I was one person in a sea of other living people.</t>
  </si>
  <si>
    <t>I did not manage to spot a blue tit but did appreciate learning this fact, very crafty</t>
  </si>
  <si>
    <t>Merlin says we heard a great spotted woodpecker, found it quite interesting, nice to put an image to the sound</t>
  </si>
  <si>
    <t>Meant to reply! Didn’t pick up anything, although I walk down a busy main road</t>
  </si>
  <si>
    <t>I didn’t manage to see a magpie yesterday</t>
  </si>
  <si>
    <t>I really like humming birds, hearing them reminds me of being young, and summer in the US, and overall I think they’re really pretty. 
I also quite like the color pattern of robins</t>
  </si>
  <si>
    <t>I am a robin, I've spent the whole day searching for food and water. The sun is shining, and I finally spot a birdbath just behind a fence, in someone's back garden perhaps. I fly over and take a drink. The noise of traffic nearby is loud and overwhelming.</t>
  </si>
  <si>
    <t>I have thus far been unsuccessful, but I did see a parakeet before it flew away! I like the coloring, them fly gracefully</t>
  </si>
  <si>
    <t>Indifferent, I’ve never had a bird feeder, although we did have a bird bath in the garden of the house I grew up in and it was kept clean</t>
  </si>
  <si>
    <t>The red kite, simply because I’ve never seen one in this area before but apparently at least five of them have been spotted near me</t>
  </si>
  <si>
    <t>I haven't seen a Magpie today but it's so interesting to learn the history the salute!</t>
  </si>
  <si>
    <t>This didn't pick up anything yesterday, but I'm going to Hampstead Heath tomorrow, so I'll try it again there and let you know what I find :) Found a wren and a blue tit at Hampstead Heath, although I couldn't see either. It was really calming to sit and listen to them after my run</t>
  </si>
  <si>
    <t>One of my favourite birds is the long tailed tit and I love how fluffy they are, the way they snuggle together and I think their tails are beautiful. I also watched the osprey cam, which was pretty cool since I used to love them when I watched springwatch when I was little</t>
  </si>
  <si>
    <t>I saw a jay outside my window recently. I'd imagine that it'd spend its day finding food in one of the nearby parks. I'd imagine that London seems really crowded from a bird's eye view, with loads of moving cars and tall buildings. Parks like Victoria Park must be like a peaceful sanctuary in comparison</t>
  </si>
  <si>
    <t>Got a picture of some magpies outside my flat. I think the way the light reflects off their feathers and that shade of blue is beautiful</t>
  </si>
  <si>
    <t>It's such a shame that something people have done to try and help has ended up having the opposite effect. 65% is a big drop! I'm glad that there are still some safe alternatives though</t>
  </si>
  <si>
    <t>Most of the birds in Tower Hamlets are what you'd expect (types of ducks and pigeons), but apparently someone saw a kingfisher this year which is pretty cool!</t>
  </si>
  <si>
    <t>I just heard a little robin. The park I’m in is very dense and green so very hard to spot them. Lovely to hear. I use Merlin a lot already and love hearing what’s in the trees. Been a nice escape from life trying to hear them! I just heard a lot more!</t>
  </si>
  <si>
    <t>I’ve taken a detour on my way home to pass through a park. Having the little task to get a picture of a bird has been a lovely way to get out of my own head. This duck was happily preaning himself as I walked by and continued to as I photographed him. The beauty is in how calm he stayed whilst I took a photo of him</t>
  </si>
  <si>
    <t>It’s really sad. I agree I don’t see many greenfinches at my parents home where there are loads of other garden birds. It’s good to know we can try and make a difference. I only hope they come back</t>
  </si>
  <si>
    <t>I saw a magpie when I was waiting for the bus and greeted it. It made me laugh as it’s such a nostalgic thing for me, I always used to salute magpies as a kid and have got out of the habit! Knowing the history now, I’ll definitely get back into the habit!</t>
  </si>
  <si>
    <t>1. The shimmery, oily, green-blue-purple colour of the feathers on pigeons’ necks in the sun. 
2. The way that some birds of prey hover and glide around in the air without flapping their wings (I just looked this up and I’m probably thinking of kestrels, kites or buzzards!)
3. Maybe an obvious one but I think murmurations are the most beautiful natural phenomenon I’ve ever seen</t>
  </si>
  <si>
    <t>I imagined a day in the life of a coot living on the canal. It felt quite adventurous, as I imagine there are a lot of interesting little places to explore and hide in a canal environment. But I also noticed how unnatural and disruptive some parts of a canal would be for a coot, with people walking past, boats passing by, and people living on or by the canal. I wonder if they ever really get much peace and quiet!</t>
  </si>
  <si>
    <t xml:space="preserve">In the north of England we say ‘Morning Mr Magpie, how’s your wife?’ I only saw a pair of magpies today so no need for the greeting. I can’t remember not knowing the need to greet a solo magpie and always say it if I see one. I am not very fond of the magpie’s call though </t>
  </si>
  <si>
    <t xml:space="preserve">I watched David Attenborough’s Secret Garden series recently and found out so many amazing things about birds! I think it’s beautiful how dedicated they are to raising their young from egg to fledgling (the amount of food the adults have to provide every day 👀); it’s beautiful that many birds have adapted to the urban environment and that many of us are now trying to support them by making our gardens more wildlife friendly. And it’s beautiful to see and hear them in my garden </t>
  </si>
  <si>
    <t>I was surprised to see a bird that I had not heard of - a dunnock - and think I confused it with a sparrow. I was also surprised that a jay is an iconic bird and will need to read more about that</t>
  </si>
  <si>
    <t>I feel sad about the decline in greenfinches and the fact that we have contributed to that. I heard that announcement so have bought suet bricks from the RSBP which are safe. I wanted to continue to put food out as I have also heard that the insect population has radically declined and it’s much tougher for parent birds to find enough food to sustain their fledglings. It feels that it can be difficult to make the right choice sometimes even with the best of intentions</t>
  </si>
  <si>
    <t>Just managed to catch first one and the a pair of robins that visit our garden daily! I have just put up a new bird feeder and the robins were the first visitors. I love that they are so confident and comfortable in our garden</t>
  </si>
  <si>
    <t>The nobility and grace of the heron that lives in the lake in Finsbury park. The comforting call of the wood pigeon. A sound I have heard all my life and the cheeky look of a tufted duck. Best feathers ever</t>
  </si>
  <si>
    <t>I am a super model. Look how many people want to see my babies</t>
  </si>
  <si>
    <t xml:space="preserve"> It was the pride that the parents had for your young.  and OMG they are so fluffy</t>
  </si>
  <si>
    <t>I didn’t see a magpie 🙁 but I also can’t say that I feel much different about them. If anything I question why this bird specifically was seen as an equal</t>
  </si>
  <si>
    <t>I love birds with vibrant colours like parrots or peacocks, I love how each bird song is unique to each species (and how animals use birds sounds as a sign of danger), and I love how majestic and free some birds looks when they’re flying (like owls)</t>
  </si>
  <si>
    <t>Hoping from garden to garden probably trying to find some food. No idea how successful they were, but the world must look huge for birds, and I wonder how far they travel in a day. Do they come back to the same gardens? Or does it change everyday</t>
  </si>
  <si>
    <t>A bit sad at first that if there are no bird feeders they might find it hard to get food, but when it mentioned that food is easier to find naturally in the summer I felt better. But also I had no idea that this was even happening or the how birds would be impacted by food/water</t>
  </si>
  <si>
    <t>It was cool to see how calm it was just observing the garden, looking side to side…wonder what it was looking for</t>
  </si>
  <si>
    <t>Maybe European herring gull because I thought they would live closer to the sea. But maybe because there a river near me that’s why they’re close by</t>
  </si>
  <si>
    <t>I did it it felt quite strange but it was funny and fun. Yes it is a very cute little fun fact and I will remember it in future when I see them</t>
  </si>
  <si>
    <t>1. The fact that some migrate together and sometimes in beautiful patterns in the sky
2. ⁠the fact that the parakeets in my garden come every day and they’re so nice and green
3. ⁠that dodos are known worldwide as the Mauritian bird and I think theyre were so cute</t>
  </si>
  <si>
    <t>I’ve chosen a pigeon
It slept at Hounslow East station
My street looks just like houses and I wouldn’t recognise my house if it weren’t for the blue swing set and the cars in the driveway
There are so many trees the birds make their nests in around my house so there are many birds around
One part is in the morning when all the different birds are communicating with their family and friends and their chirps all sound slightly different as seen by Merlin!
I noticed the immense potential for places for nests</t>
  </si>
  <si>
    <t>Okay so I couldn’t see the patterns, but I thought the shape of it from my view was quite cool and I thought the one that was really far away was quite cool because we probably look really small from the birds perspective to</t>
  </si>
  <si>
    <t>It’s sad to think that people have been feeding birds because they want to do something nice and it’s ended up hurting them</t>
  </si>
  <si>
    <t>The Eurasian jay because I’ve never seen a bird that looks like that in my areas</t>
  </si>
  <si>
    <t>I’ve always saluted the magpies and said good morning! I love their flashes of colour, familiar presence and enthusiastic bounces. I’m afraid I’ve always known their history tho, so maybe that’s why I’ve always been so happy to see them</t>
  </si>
  <si>
    <t>It’s hilarious! Even when we’re trying to have positive interactions with the nonhuman world, we (humans) are still prone to doing more harm than good!</t>
  </si>
  <si>
    <t>I did not see a magpie today, but it was nice to know the history of magpies as I have always been a bit superstitious about them</t>
  </si>
  <si>
    <t>I love the colours of a blackbirds feathers and how they are green and purple in certain lights. I love the song of robins. I love how curious birds can be.</t>
  </si>
  <si>
    <t>We have a robin family living in one of our neighbours balconies. One part of their day is exploring our patio and bamboo! One thing I noticed is that we don't have a wide variety of plants for it to enjoy</t>
  </si>
  <si>
    <t>This is one of the robins that lives here, I love how fluffy it is (still losing its baby feathers) and how round it is</t>
  </si>
  <si>
    <t>I feel glad knowing there is something we can do to help. I feel a little bit stressed about the robin family in our garden. They are the only birds that are in our patio area and the only ones that eat the seed which is good, but I will need to make a change for them. Having said that, I don't want to immediately remove the seed because there aren't many natural food sources in our apartment courtyard/patio and there are babies in the family. I will sort something soon though</t>
  </si>
  <si>
    <t>The Kingfisher and Sparrowhawk surprised me the most as I didn't think they would live in a small city centre park. I was also surprised that there are 55 species in the park</t>
  </si>
  <si>
    <t>Withdrawn by researcher as did not complete tasks</t>
  </si>
  <si>
    <t>I did not spot any blue tits , but Ive definitley kept an eye out I’ve never paid that much attention to birds before - it’s fun learning things about local wildlife</t>
  </si>
  <si>
    <t>I salute magpies but I don’t really say good morning - and I count one for sorrow/ two for joy.  I think it was just social habit for me , it was interesting pitching them as equals instead , I liked that</t>
  </si>
  <si>
    <t>1. They can fly 
2. ⁠The men are usually the colourful ones and I think that’s awesome 
3. ⁠They build nests</t>
  </si>
  <si>
    <t>I saw a big bird (gull perhaps) in the big crowd of pigeons by campus. It was very entertaining and I imagined it was adopted. It probably has a cool view there are lots of tall buildings and windows and the mosque is probably dope from a Birds Eye</t>
  </si>
  <si>
    <t>I actually tried to do this several times - my phone was dead when I saw the big bird with the pigeons. 
My friend is sun warden at an rspb reserve he took this photo of a peacock in a tree . 
Peacocks are obviously very pretty bcs of the feathers but I really liked that it was in a tree - I didn’t realise they did that</t>
  </si>
  <si>
    <t>This is super interesting - especially the bird baths because I feel like they often end up ornamental and forgotten which can make the water pretty gross.
It’s kind of sad for the birds to be negatively impacted from something people do with good intentions</t>
  </si>
  <si>
    <t>There are no species in tower hamlets town hall :/ 
But there are loads listed in tower hamlets cemetery park - that’s cool because I wrote last terms consultancy report on them ! There are parakeets - which is awesome because I never expect to see them in the wild</t>
  </si>
  <si>
    <t>I did not see a magpie today, unfortunately. I did see other birds who i said hello to. It does change how i see them, i’ll think about it every time i see one now ☺️</t>
  </si>
  <si>
    <t>I did this exercise today cause i was at home and was able to do it and heard the following birds. I really liked this exercise because i didn’t know i had rhis many birds in my neighbourhood!</t>
  </si>
  <si>
    <t>Here are my 3 things:
1. I love the sound the birds make in the morning
2. ⁠i love the way you can see them using their tail for balance when they sit on a fence
3. ⁠i love when they hop on the grass instead of fly</t>
  </si>
  <si>
    <t>Through the thrushes eyes you see the detail on the grass and in the brush. The seeds that stick out, the worms between the bracken, the tangled mess of branches as garden trees we've together in bushes</t>
  </si>
  <si>
    <t>I love the one looking over the other two waiting for his turn</t>
  </si>
  <si>
    <t>It makes me feel sad. Part of the reason people use bird feeders is to turn spaces near them into areas where they can see wildlife. I think the RSPB have been smart in providing advice that allows people to mitigate the risk while still using it.</t>
  </si>
  <si>
    <t>I was surprised by the sparrow, as I more associate then with the countryaide rather than in London</t>
  </si>
  <si>
    <t>I really did try to find places where I could hear bird song, but I leave for work at 6AM, the road I live on is a main road with very loud cars so you can’t really hear anything else
Then naturally on the train you can’t hear anything and I work in indoors an office until 9PM
Every time I tried to use the app it couldn’t detect anything</t>
  </si>
  <si>
    <t>I did manage to do this yesterday!
It felt sweet, as this was something my sister taught me when we were young but I had forgotten about so it was a bit nostalgic
And yes I do think knowing the history makes magpies feel more special to me, they’re far from ordinary and incredibly interesting</t>
  </si>
  <si>
    <t>Hey I didn’t manage to spot a blue tit yesterday or the day before but today on my commute I think I saw one 
I recognised the blue and yellow stripes
It was quite satisfying finally spotting one after looking for 3 days now, particularly as I work long hours in an office theres not often a chance to see any nature other than through the windows of the tube. Not a blue tit but i managed to spot a great tit on my lunch break!</t>
  </si>
  <si>
    <t>It felt really nice, and kind of made me want to know more and be able to recognise the local birds. That’s something that my parents know about the area we are from and I think that knowing this about where I live now would make me feel more grounded and more at home :)</t>
  </si>
  <si>
    <t>or today’s task, this news makes me feel pretty sad. It’s horrible when people think they are doing something good, but are actually causing harm. I am grateful to be in the know now :)</t>
  </si>
  <si>
    <t>I was too shy to say hello out loud, but I did enjoy noticing magpies and acknowledging them as I walked pass them and try to catch their eyes :)</t>
  </si>
  <si>
    <t>I did not see one but knowing their history definitely changed how I see magpies</t>
  </si>
  <si>
    <t>1. The grace with which birds move. Birds are insanely varied in the way they look, hunt, fly, etc. but I've spent some time looking at birds recently, and they always seem to move in a very graceful, considered way (unless they're domesticated birds or fighting)
2. Starlings are unassumingly gorgeous. Their feathers look like an oil slick and they have patterns and all sorts.
3. I love hearing bird song. Each bird will have its own song which, but it's the medley of them all that makes me happiest.</t>
  </si>
  <si>
    <t>My first introduction to magpies were the biff and chip books, where I learnt that they like collecting shiny things. And then I came across that poem in a practice sats paper or something, and it stuck with me for some reason, like a superstition.
A little later, I learnt that it goes 'one for sorrow' because magpies are social creatures and it's seen as bad luck to see one on its own.
I think I've always thought magpies are a little cool and clever. They also look very funky :)</t>
  </si>
  <si>
    <t>I saw some pigeons trying to use a construction site pump hole thing as a source of water 🙃
This was a few nights ago now, but I saw a swan sleeping on the canal, it's neck tucked under it's own wing, just free floating. And there was another swan right next to it, and it looked like it was kind of keeping guard. It was staying in one place and kept turning around on the spot. That was a pretty cool insight into the lives of swans :)</t>
  </si>
  <si>
    <t>Two magpies. One seemed like it was looking for food or some kind of resource. And then this other magpie swooped in and started chatting to the first magpie, by squawking and flapping its wings. I've always loved the blue streak that magpies have in their tail feathers</t>
  </si>
  <si>
    <t>I think I already knew some of this. I was aware that bird feeders are a breeding ground for bird diseases, which has had an adverse impact on some species. I didn't know that there was a seasonal element to it. I also didn't know that it took so much effort to keep a bird feeder clean and useful for birds. We have a flat roof on top of our garage where we will put food for birds (mostly pigeons tbh), and I've always presumed it's fine because the food is spread across the surface and there's no clumping of birds or lots of birds using the same space. But maybe there's still a build up of contamination 🤔</t>
  </si>
  <si>
    <t>I was surprised to see that there are so many species of small birds! I kinda presumed they were all the same or similar, as it's hard to get a good look at them.
I was generally surprised to learn that some of the sightings are higher than the national average, but maybe that's because there's more Londoners on the app.
The final thing I learned is that the thing I've been calling a duck my whole life is actually a mallard! Still a type of duck, but not 'the' duck that I was taking it to be.</t>
  </si>
  <si>
    <t>For me the most beautiful things about birds are their wings, some birds can look majestic like the golden eagle. Second is the birds call, sounds really calming, but also pretty cool in terms of the birds of prey. Lastly, the diverse colours, shapes and sizes and how unique each type of bird is</t>
  </si>
  <si>
    <t>What I found beautiful was the posture of the bird, which wasreally impressive, the combination of colours and the beak</t>
  </si>
  <si>
    <t>I feel sad for the declining green finches population, but also relieved that I had gotten rid of my bird feeder a long time ago, just didn't have the capacity to fill it</t>
  </si>
  <si>
    <t>Didn't expect to see European Greenfinches as I haven't see them but they could be camouflaging in the grass</t>
  </si>
  <si>
    <t>I didn’t see a magpie today, so I didn’t get the chance to greet one, but I really enjoyed learning about the history behind it. This is actually the first time I’ve heard this rhyme, as I didn’t have all of my schooling in the UK. 
It was interesting to compare it with Chinese culture, where magpies are seen very positively. In Chinese, the word for magpie is 喜鹊, and the character “喜” means happiness or joy, so we have always associated magpies with good news and positive meanings rather than bad omens. And was very shocked when I found this out the first time a few years ago. Knowing both sides of the history makes me see magpies as even more interesting.</t>
  </si>
  <si>
    <t>I saw 2 for joy! I always greeted them but never knew that fact! It always brings a smile to me whenever I see someone greet them!</t>
  </si>
  <si>
    <t>Definitely one has to be their colours and patterns! Each kind of bird is so unique and different all around the world!
Their ability to fly. It looks so freeing and just a cool thing to see!
Finally their sounds/songs/chirps. They are such a lovely thing to hear and on a sunny day it can make people so happy!</t>
  </si>
  <si>
    <t>Definitely the Rose-ringed Parakeet surprises me, I always forget that you can find them flying around London! They are so colourful and look like you'd never find them here</t>
  </si>
  <si>
    <t>That's so sad, this should definitely be spread more and made common knowledge, people are only trying to help the birds but are accidentally hurting them!</t>
  </si>
  <si>
    <t>There is a crow that likes to perch on top of the building opposite us! Our cats love to watch it 😂 I think it lives in the park down the road and lands on top of the building to look for food, it makes me notice how green London actually is and how it's birds have adapted so much to fit in with their new environments!</t>
  </si>
  <si>
    <t>PTPS_2</t>
  </si>
  <si>
    <t>PTPS_1</t>
  </si>
  <si>
    <t>PTPS_3</t>
  </si>
  <si>
    <t>PTPS_4</t>
  </si>
  <si>
    <t>PTPS_5</t>
  </si>
  <si>
    <t>PTPS_6</t>
  </si>
  <si>
    <t>Are there any tasks which provided you with a tool/mindset/practice that you think you may continue to use? Or any you definitely won't use? What are they and why</t>
  </si>
  <si>
    <t>PTPS_Score</t>
  </si>
  <si>
    <t xml:space="preserve">Status of participation </t>
  </si>
  <si>
    <t>Did you notice any feelings come up during tasks/after tasks/ when the study finished? Which feelings and why</t>
  </si>
  <si>
    <t>Do you think your relationship to/with birds has changed at all? Any thoughts as to why?</t>
  </si>
  <si>
    <t>Did the tasks feel accessible and easy to engage with personally, or were there things that got in the way like time, mobility, location, or anything else?</t>
  </si>
  <si>
    <t>It nice to try and spot birds and I feel encouraged to get out and use Merlin more</t>
  </si>
  <si>
    <t>Just the calmness after getting into nature</t>
  </si>
  <si>
    <t>Not changed as I already loved them but nice to be reminded of how much I enjoy them</t>
  </si>
  <si>
    <t>Tasks feel accessible and easy to engage with…</t>
  </si>
  <si>
    <t>complete</t>
  </si>
  <si>
    <t>Truthfully, I don’t think I’ll continue to use any. I prefer going fully analog when in nature.</t>
  </si>
  <si>
    <t>Not really</t>
  </si>
  <si>
    <t>I think the robin poem was quite thought provoking for me. As I mentioned, I always feel a great sense of achievement when I spot a bird and can name it, but I never think about the fact that the bird can also see me, and that I am part of its environment.
I probably won't use the eBird site and I didn't do the Merlin Bird ID one, because I'm somewhat tech and app averse, especially when it comes to nature. Feels slightly oxymoronic / juxtaposed</t>
  </si>
  <si>
    <t>Hmm, not particularly, but it has reaffirmed my growing interest in birds and was fun to have a space to nerd out over them :)</t>
  </si>
  <si>
    <t>I don't think so. As I mentioned, I've had a growing interest in birds (observing, naming, spotting, etc. ), so this reinforced that and gave it a medium of engagement / expression. However, I can now appreciate just how many species I *don't* see (and can't name yet), even though they are there.</t>
  </si>
  <si>
    <t>I think there were some genuinely busy days where I couldn't engage with tasks that required quiet spaces / time, such as the indentifying bird song one, even though that looked really cool. Also, the adhd meant I struggled to remind myself to respond / complete tasks sometimes. Other than, I'd say it was greay accessible to me :)</t>
  </si>
  <si>
    <t>The Merlin ID app was really cool, will definitely use it, also the story about the magpie, I plan to share that with my friends and family and highlight the importance of respecting nature. I will also speak to other neighbours about the risks of disease from bird feeding.</t>
  </si>
  <si>
    <t>I felt happy to have been apart of the study and grateful to have learned a lot about birds and nature. I also feel sad that it's over as I did enjoy the activities.</t>
  </si>
  <si>
    <t>I will definitely be more aware of the birds in my area, but I've always had a close bond to birds and they are my favourite class of animal</t>
  </si>
  <si>
    <t>Definitely would pay more attention to the world around me and looking our for birds, their sounds etc. Learned also few things about the different birds, which made me more curious and wanting to know more about tge different species. Also found information about feeding, types of food not not give quite useful.</t>
  </si>
  <si>
    <t>Felt happy to complete tasks, after looking out for birds bit also disappointment of not doing more or more involved in protecting birds.</t>
  </si>
  <si>
    <t>Yes I am more interested and also feel more concerned.</t>
  </si>
  <si>
    <t>I have joined the e-bird site and have been using the Merlin bird app most days 😁 I enjoyed learning facts about birds. I didn’t enjoy the imagining tasks so much.</t>
  </si>
  <si>
    <t>Yes - curiosity, pleasure, excitement, enjoyment and concern at some of the worrying facts you shared.</t>
  </si>
  <si>
    <t>I think the survey combined with the David Attenborough programme, Secret Garden has really upped my interest in birds and I am going to continue observing them on my walks and adapting my garden to make it as wildlife friendly as possible.</t>
  </si>
  <si>
    <t>I think it was nice to imagine a birds day because it’s low effort and helps you feel grateful and think outside the box</t>
  </si>
  <si>
    <t>Wonder abt birds</t>
  </si>
  <si>
    <t>I think I will notice them more going forward</t>
  </si>
  <si>
    <t>Even though I don’t have a bird feeder, int he future I light consider planting plants which birds can use as natural food.</t>
  </si>
  <si>
    <t>Not a lot of feelings came up, but maybe a sense that we can be more observant of nature around us on a daily basis</t>
  </si>
  <si>
    <t>I think over the past 10 days I’ve paid more attention to them outside of the tasks. I notice what they’re doing, what another birds thier with or being more attuned to their sounds</t>
  </si>
  <si>
    <t>I thought the blackbird song was really interesting as it definitely made me feel more relaxed so this is something I will try again. I think I would also consider using the app again to identify which birds are around me on a walk.</t>
  </si>
  <si>
    <t>I enjoyed having the time/space to focus on nature each day and having to make an active effort due to the study. I find being in nature relaxing but I don't always make time for myself. I have felt quite stressed during the study but that is due to outside factors and not because of the study itself. If the outside factors weren't going on, I think the study activities could have helped to lower my stress levels.</t>
  </si>
  <si>
    <t>I think I am more curious about which species are around me, and I will also act on the rspb advice around feeding. Otherwise I think my relationship has stayed the same as I have always loved birds.</t>
  </si>
  <si>
    <t>N/A</t>
  </si>
  <si>
    <t>I thought the tasks were sweet but overall the experience stressed me out as thinking about feathers and birds is my worst nightmare</t>
  </si>
  <si>
    <t>No - I have a phobia of feathers and thus birds</t>
  </si>
  <si>
    <t>I think I found how abstract and emotive a lot of them were quite difficult and unnatural to me. I am also terrified of feathers so any tasks involving looking at birds was an automatic no.</t>
  </si>
  <si>
    <t>The bird app which allows me to identify birds from their sounds</t>
  </si>
  <si>
    <t>I felt calm and more grounded as I didn't feel so lonely, knowing I was surrounded by other living beings.</t>
  </si>
  <si>
    <t>Yes, I not longer see them as just birds. I am able to acknowledge that they are animals just like humans who have families and responsibilities.</t>
  </si>
  <si>
    <t>The listening to bird song and the app to identify the birds you hear is definitely something i will use again!</t>
  </si>
  <si>
    <t>I felt calmer whenever i did the tasks</t>
  </si>
  <si>
    <t>I think so yes. Cause you pay more attention to them and see things you didn’t before.</t>
  </si>
  <si>
    <t>It was nice to go out looking for birds. It made me appreciate the world around me much more, as I became much more observant and appreciative when traveling out and about. I also really likes listening to the bird song, and would have loved to have a longer track that I could listen to. I feel it would help me be productive more. Perhaps the blackbird sounding like humans also had the vibes of background conversations, which is helpful for me to be productive (without being distracted by specific topics of conversation)</t>
  </si>
  <si>
    <t>I think I will be a bit more friendly with those in my garden, as they are very curious and friendly.</t>
  </si>
  <si>
    <t>I think some of the tasks which made you look for birds nearby (eg the Merlin app and eBird) were really interesting and quite surprising to find so many birds in London! Photographing a bird was pretty hard though, they're all so small and hidden away!</t>
  </si>
  <si>
    <t>I felt pretty happy when I finished the task, both for interacting with nature and to have learnt something new about birds in the area.</t>
  </si>
  <si>
    <t>I think I started paying attention to them more. I did a lot of birdwatching when I was little but as I've grown up and life got busier I'd stopped looking and this study reminded me to slow down and keep an eye out.</t>
  </si>
  <si>
    <t>Looking for birds! Such a fun way to make a walk more interesting , also after the task about listening to the birdsong I realised you don’t always need headphones to listen to music</t>
  </si>
  <si>
    <t>The information about not feeding year round was interesting - because that’s something that a bird lover might do with good intentions , plus I think there are plenty of bird lovers who might not be easy to reach with that info- so I felt a little sad or sorry for the birds</t>
  </si>
  <si>
    <t>Yeah! Newfound respect and appreciation for sure</t>
  </si>
  <si>
    <t>I really liked eBird, it was so fun to look at different parts of the world and the birds that are spotted regularly!</t>
  </si>
  <si>
    <t>I felt calm and connected to the world around me, it's not often that I take a moment to look around and take notice of the small things in nature, it's definitely something that makes me feel happy and at peace!</t>
  </si>
  <si>
    <t>Definitely! I never really paid attention to birds before the study but now I feel like I will start to pay more attention, they are wonderful animals!</t>
  </si>
  <si>
    <t>I had never previously paid attention to the birds around me, and I think I will continue to make an active effort to look out for birds, as they can be really beautiful, and they're more ubiquitous than I realised. It's quite lovely to identify birds</t>
  </si>
  <si>
    <t>I found myself feeling more grateful for the nature around me, and I felt more mindful after completing some of the tasks, as they encouraged me to step out of my daily rhythm and focus on nature</t>
  </si>
  <si>
    <t>Yes - I honestly never really thought about birds in the past, whereas now I think I will notice them a bit more, and be more grateful for them</t>
  </si>
  <si>
    <t>The birdsong and magpie task were great to change my mindset into paying more attention and spending more time observing the natural environment around me. I didn’t like the task about taking pictures of the birds, generally because I prefer to enjoy the moment and I don’t like to interrupt the time spend outside to take pictures (I think we take too many pictures nowadays in general)</t>
  </si>
  <si>
    <t>During the tasks I felt a sense of stillness and concentration, after the tasks a sense of gratitude most times (usually because the task would lead me to notice something new and that I enjoyed)</t>
  </si>
  <si>
    <t>I know a bit more about them, thanks to the information in the tasks, and I notice them more when I walk around.</t>
  </si>
  <si>
    <t>I liked thinking about what kind of day the birds had had, but I don’t like having to interact with technology when I’m with nature</t>
  </si>
  <si>
    <t>I noticed how hard it was to find time to be present when I was outside - so often I’m so in my head and busy that it all passes me by - so after I’d actually got out and done a task I felt more present</t>
  </si>
  <si>
    <t>My relationship to birds has already been developing, so I’m not sure that the tasks changed my relationship at all, but became part of that ongoing narrative</t>
  </si>
  <si>
    <t>There were there things that got in the way...Weather, time, location, mindset… but mainly easy enough to engage with!</t>
  </si>
  <si>
    <t>I think in general it's made me think I might choose to listen to bird songs more, but the individual tasks, I will probably not repeat. I already had quite a strong attachment to nature, and think a mere reminder to go and get into it is enough.</t>
  </si>
  <si>
    <t>I think it often made me smile during the tasks, brought a bit of laughter to something that added a new direction to my love for nature.</t>
  </si>
  <si>
    <t>Not really, my mum is a bird watcher, and I already thought of the woods as a special place for me, the song of birds in nature was always a symbol of somewhere alive</t>
  </si>
  <si>
    <t>There were there things that got in the way...the reminders coming in at the start of the day made it easy to forget about. Especially since it comes on WhatsApp which is flooded with other messages. I often found that once I had read a task and thought how I might do it, I would forget about it until scrolling down in my messages. The tasks themselves where good and simple. But the interface for recieving them often meant I remembered I hadn't done them late unto the day and then squeezed them in.</t>
  </si>
  <si>
    <t>The ones that tasked me to look around and focus on my environment rather than my head being stuck in my phone or book</t>
  </si>
  <si>
    <t xml:space="preserve">More reflections, more peace when doing the activities
</t>
  </si>
  <si>
    <t>I think I appreciate them more, normally I walk past but now I see them more as part of my day</t>
  </si>
  <si>
    <t>My own emotional capacity to have to reflect and name feelings and thoughts</t>
  </si>
  <si>
    <t>I loved being provided with prompts to pause and appreciate nature. It calmed me down and helped with my stress about other things going on in my life. To be able to situate myself in this wider beautiful planet was really good for my mental health.</t>
  </si>
  <si>
    <t>Sometimes I felt a bit of sadness for how the modern world and hustle culture makes it hard for us to connect to our planet, which without that we could not even be here.</t>
  </si>
  <si>
    <t>Yes! I notice birds way more now, I see them as messengers and I actively take my AirPods out to hear birdsong when i am walking through parks now.</t>
  </si>
  <si>
    <t>Social plans, a short trip I took abroad and my assignments and uni work.</t>
  </si>
  <si>
    <t>Most of the tasks kind of made me more grounded and realized how amazing the birds are</t>
  </si>
  <si>
    <t>A feeling of misinformation and privilege because of my fast pace life I have not paid enough attention to how many birds souround me</t>
  </si>
  <si>
    <t>Of course it has.Now the relationship feels more intimate due to the fact that I know more about them .</t>
  </si>
  <si>
    <t>I loved the merlin app and learning who was singing</t>
  </si>
  <si>
    <t>Just how alive the world is. And how much bigger than we think</t>
  </si>
  <si>
    <t>The cheeky devils. Got to love them</t>
  </si>
  <si>
    <t>I dont think so, birds may be nice but they contribute little to my life.</t>
  </si>
  <si>
    <t>Anxiety, I’ve grown to dislike talking about birds now.</t>
  </si>
  <si>
    <t>I dislike birds, as I attach a newfound negative energy to them now.</t>
  </si>
  <si>
    <t>Missing one day of tasks and having another come in felt like it was piling up.</t>
  </si>
  <si>
    <t>I loved the Merlin app and will definitely use it more - it made me really look around my environment as I was walking through the park, to see if I could spot the birds I was hearing. I also loved how the questions focused on what I thought was beautiful, as it turned out it was a lot and it made me really appreciate the beauty of the nature around me.</t>
  </si>
  <si>
    <t>I often felt calm, and sometimes quite happy or amused, as some of the tasks were a little unexpected either in what they asked or in the emotions they brought up.</t>
  </si>
  <si>
    <t>Yes definitely! I hope to be more aware of how much bird life is around me, especially in the city where it’s easy to feel like there isn’t much wildlife around.</t>
  </si>
  <si>
    <t>I enjoyed imaginging nature from the perspective of a bird- ive never done that before and its something Ive tried with other plants and insects and found quite insightful</t>
  </si>
  <si>
    <t>Mainly frustration- at myself for not having time for short tasks, and systems for not allowing us to engage with nature at other people for not respecting wildlife. Lots of frustration.
But also grounding and joy when I would get to spend some time outdoors.</t>
  </si>
  <si>
    <t>After downloading the merlin app ive become fascinated with identifying birds and learning about tjem witj a passion i didnt have before. Why? im not sure but Ive just become so curious!</t>
  </si>
  <si>
    <t>There were there things that got in the way… My work mainly</t>
  </si>
  <si>
    <t>I was not able to participate in the study properly. I am really sorry for that but actually my mental health was a barrier in participating in life recently. I will definitely love to explore the questions again as pondering on them (even if i didn’t manage to reply) have proven to be a respite</t>
  </si>
  <si>
    <t>I would feel calmer and more peaceful when completing the tasks.</t>
  </si>
  <si>
    <t>I have always loved and paid a lot of attention to birds. I am glad for this experiment to have reinvigorated the relationship I had with birds.</t>
  </si>
  <si>
    <t>Withdrawn - keep data</t>
  </si>
  <si>
    <t>No post measures completed</t>
  </si>
  <si>
    <t xml:space="preserve">No post measures completed </t>
  </si>
  <si>
    <t>I noticed that I instinctively lengthened. I stopped slouching and brought my head up. I felt calmer and a slight loss of tension. It also made me feel hopeful.</t>
  </si>
  <si>
    <t>I think so too! I woke up on time with my beautiful girlfriend, showered and washed my hair so I felt all clean, put on my favourite comfy outfit and had a really exciting meeting about a project I’m working on. Now I’m going to a friend’s house to work with her and she’s making me pancakes! A pretty wonderful day to be alive :))</t>
  </si>
  <si>
    <t>I didn’t manage to spot a blue tit but I enjoyed looking out for one! I ended up noticing lots of things that I wouldn’t have because of it, like other birds and just how nice trees are! The fact made me feel inspired and just reminded me how big and complex each life is and how crazy that is!</t>
  </si>
  <si>
    <t>I really enjoyed this task! It was really exciting to find out how many birds were around me and to look out for them. It was quite grounding and peaceful.</t>
  </si>
  <si>
    <t>I did see one and greeted it, it made me feel happy and childlike. The history makes me feel inspired and more in awe of the magpies!</t>
  </si>
  <si>
    <t>1) How the great horned owls catch big worms to feed to their young
2) The blue/green colour of a hummingbirds head
3) How long and thin hummingbirds beaks are. I watched the great horned owl live stream and the panama hummingbird live stream</t>
  </si>
  <si>
    <t>My bird sleeps in a nest on the roof of my house, and gets chased by the friendly black cat on my street. When I did this exercise I became much more aware of my surroundings and everything around me felt more alive.</t>
  </si>
  <si>
    <t>This is a picture of a crow I saw, I found it’s shape so beautiful and I like how you can see the individual feathers!I also saw this little bird and admired the little feet and wings!</t>
  </si>
  <si>
    <t>I feel quite shocked and I guess it’s another reminder that we (humans) sometimes forget to recognise birds as other life forms and assume we know what’s best for them rather than trying to figure it out.</t>
  </si>
  <si>
    <t>The grey wagtail surprised me most! I’ve never seen one around here (Whitechapel) and it looks like it would be found somewhere much less urban. I’ll definitely look out for it from now on! Think this study is going to get me into bird watching haha, I’ve been loving using the app that recognises bird song</t>
  </si>
  <si>
    <t>I did notice my stomach drop, and my breathing did slow down, despite preferring lower pitches of sound.</t>
  </si>
  <si>
    <t>It certainly is a perfectly good day to be alive. A good day to be alive is being surrounded with friends and family that love you, and being harmonious with the world around you!</t>
  </si>
  <si>
    <t>No , I didn't end up managing to see one, but these facts made me feel very cheerful! Love the ingenuity of even the tiniest of birds!</t>
  </si>
  <si>
    <t>Didn't spot a magpie today either 😭 but this fact is cute and it made me happy that magpies have more than just negative connotations! Good morning Mr Magpie!!! Feel happy I was able to spot one amongst the birds</t>
  </si>
  <si>
    <t>I saw a little robin doing little jumps on the floor.
 Probably quite wary of predators but still wanting to find a worm to snack on   because it's so small , its life probably looks far different to ours, hanging around in the safety of the woods. Still feeling safe enough upon those trees to sing very loud bird songs amongst the symphony of various Holland Park birds . Leaves probably feel quite safe, but the thick density of the leaves on the floor also obscure vision , and some might sting</t>
  </si>
  <si>
    <t>This Egyptian goose looked gracious picking at the grass</t>
  </si>
  <si>
    <t>Saw some moorhens:
1. I love their red beaks! 
2. I love their short repetitive noises 
3. Idk I like how small but loud robins are (they really don't stop). I think red looks really nice on birds</t>
  </si>
  <si>
    <t>Couldn't get a bird to sing for long enough. European Robin, felt nice to put a name to a sound. Bird noise list:
Robin
Common Wood pigeon
Wren
Rose ringed parakeet
Rock pigeon
Goldcrest 
Eurasian blue tit
Ones Merlin didn't pick up on (too slow/not on list)
Eurasian moorhen
Peacock</t>
  </si>
  <si>
    <t>I saw this piece of news before!! We have to be careful what we feed the birds , the goldfinch population decreasing is really sad. It's a mix of sadness and hopefulness I guess? That people might follow these rules or be reminded. I know the peacocks in Holland Park died from being overfed but hopefully that won't happen again. It's inherently sad that acts of love can cause death but ig that's just reality</t>
  </si>
  <si>
    <t>Common Swift and Eurasian Jay seem to be quite commonly spotted in Hammersmith but I never noticed them XP . Theyre also very interesting birds with the Swift always in the sky and the Jay having a nice plumage</t>
  </si>
  <si>
    <t>Relaxed, felt like I was in a sunny garden 
breathing and heart rate slowed</t>
  </si>
  <si>
    <t>I have been watching you too you remind me of my nan she loved Robins.
I have a Robin on my kitchen window seal which makes me smile each morning.
It is a great day to be alive!</t>
  </si>
  <si>
    <t>haven’t seen one today 
very very smart little birds tho :)</t>
  </si>
  <si>
    <t>Saw one in the garden said good morning felt a little weird but nice.
A little but i’ve always looked out for Magpies and i count them with my children :)</t>
  </si>
  <si>
    <t>I love the sounds of the birds in the morning waking up to birds is lovely, i also love the sound and look of owls all owls.
and the bright colours of parrots and the fact that some of them can talk!</t>
  </si>
  <si>
    <t>I am watching birds out my window as i work, one is building a nest im thinking if i was the bird what i would be looking for to use to build with</t>
  </si>
  <si>
    <t>Very sad as my children made bird feeders last year and they love it!</t>
  </si>
  <si>
    <t>not seen one of these before, pretty bird :)</t>
  </si>
  <si>
    <t>I felt a bit emotional (though not unusual for me) from the start, it made me think of home and wish I was in the countryside rather than the city.</t>
  </si>
  <si>
    <t>It reminds me that we are never truly alone. It make  nice juxtaposition to think of being observed but not in an oppressive or invasive way, but just curiously the same way we observe the creatures around us they also observe us. I think it’s a good reminder that it’s the simple things that make a day good.</t>
  </si>
  <si>
    <t>1. It heard a black redstart and eurasian blackbird
2. ⁠I had never heard of the black redstart so it made me feel like there’s. a lot to still be noticed or that i don’t know about what’s around me</t>
  </si>
  <si>
    <t>i thought it was fun to see a magpie in the morning after the task from earlier</t>
  </si>
  <si>
    <t>i thought that it may also have just woken up recently</t>
  </si>
  <si>
    <t>I looked at the birds in victoria park and was surprised that i had never seen or heard of most of them. In particular the pochards, grebes and house-martins.</t>
  </si>
  <si>
    <t>Just had a listen and I felt quite relaxed listening to this. It’s quite rare I tune into the birdsong all around me but it was refreshing to do so and I felt more connected to my surroundings and very present</t>
  </si>
  <si>
    <t>I was in Greenwich Park today but can’t say I saw a Blue Tit! I’ll keep my eyes peeled!</t>
  </si>
  <si>
    <t>It’s a perfectly good day to be alive! Especially because I spent the afternoon with a close friend walking around Greenwich Park, enjoying the warm weather and appreciating the natural beauty of the park. 
Reading the poem made me feel grateful and appreciative of the friends I have around me and the lovely area I live in ☺️</t>
  </si>
  <si>
    <t>These are the birds that Merlin heard from my balcony. Discovering these birds made me feel happy and excited! I never knew what the house sparrow sounded like and I hear it all the time so it’s nice to now know which bird the call belongs to!I did it again and heard a few more this time :)</t>
  </si>
  <si>
    <t>I did see a magpie while I was out yesterday! I tend to say the “one for sorrow, two for joy” rhyme so it was fun saying something different!!!</t>
  </si>
  <si>
    <t>I felt calm and conscious of my breathing, that it was slowing down and peaceful. My mind went a lot clearer as I listened to the sound of the birds</t>
  </si>
  <si>
    <t>Hi little Robin, it’s so funny you watch me, as I watch you, admiring your feathers and the little way you hop. It’s heartwarming to hear your positive view of the world from something as simple as the sun, it makes me feel I should appreciate the little things too. 2: the letter was sweet, made me reflect on what nature thinks when it sees me and how it lives so natural around me.</t>
  </si>
  <si>
    <t>Hi! I did spot one yesterday on the tree outside my window, it’s quite high up and they were tiny - but I spotted the blue and yellow. Cute little fact they weigh the same as a pound coin. Love finding out how clever they are too, who knew they were so pretty and smart!!</t>
  </si>
  <si>
    <t>Just tried this and it couldn’t pick up anything, too late in the day I think! I could definitely hear a robin in the distance. Will try again tomorrow morning, I know in the morning there a lots of birds outside my flat 🙂 I heard: a European starling, an eurasian blue tit and a great tit. It was really nice to listen out for birds and start recognising their sounds, normally I would hear them and not really register the differences.</t>
  </si>
  <si>
    <t>I’ve never heard of saying hello to a magpie before! But when I did see one today I did say hello. It was nice to give attention to something and appreciate nature. It made me feel a bit silly saying hello, but still a sweet moment.</t>
  </si>
  <si>
    <t>1) I love the different way they film, from soaring to flapping to the cute burst smaller birds do. 2) Their bright colours, it’s nice to see colour in nature. 3) their different noises, like humans speaking different languages.</t>
  </si>
  <si>
    <t>I saw a skinny little Robin hopping around a local park. They were jumping around, enjoying the sun and running round people’s legs and avoiding the gardener’s trimming. I imagine they were curious about the different people and the smells of the local market. They were so small I imagine everything felt so big.</t>
  </si>
  <si>
    <t>Thé sun also made a wonderful day for me.
The worm is not important for me.</t>
  </si>
  <si>
    <t>I spotted one and it is an interesting fact that I have learned about the Blue Tit.</t>
  </si>
  <si>
    <t>Could not find any</t>
  </si>
  <si>
    <t>I saw one and said good morning. 
I felt very good about it.</t>
  </si>
  <si>
    <t>Birds with multiple colours, their sounds and the way they build their nests.</t>
  </si>
  <si>
    <t>The bird slept under the roof side.</t>
  </si>
  <si>
    <t>The bird comes every evening. She is friendly.</t>
  </si>
  <si>
    <t>It’s good to know all these feeding restrictions. Even I don’t feed birds, I can communicate it to other people who does.</t>
  </si>
  <si>
    <t>I am currently at so much peace. Enjoying both the good and the bad and finding the joy in life in general. Life is always good and bad, but focusing on the good is enabling me to find joy overall. So yes today is a good day to be alive. 💚 The letter made me think about some negative things, just to think about is it bothering me. Then I thought - no, there is much more joy and humans tend to focus on the bad. So focus on the good and outshine the bad things with it. Sometimes the joy can be something as simple as the sunshine or worm</t>
  </si>
  <si>
    <t>I found quite a few birds. Some pretty cool. I also heard a finch which I didn't screenshot. 
It was cool. I actually for once paused to look for them and see if I can spot them. I was trying to find the parrots mostly, but I've seen them before. I think I'd deffo use this again. I think it showed me how much more connected we are to things. And nature. I usually just walk past but waiting to listen to birds was cool and humbling experience. I'm going to use this app a lot more now</t>
  </si>
  <si>
    <t>I didn't see a magpie yesterday. But keen to see one soon.</t>
  </si>
  <si>
    <t>I think as a vegan I wouldn't offer mealworms etc. 
However, knowing not to feed them seeds and stuff in summer I'd be more mindful! I do like feeding birds and seeing them</t>
  </si>
  <si>
    <t>Hi! Unfortunately i was not able to spot one! But i like learning about the fun fact!</t>
  </si>
  <si>
    <t>From this morning :). Pigeons I hear them very often from my window, especially early in the morning. I didn’t know the European Robin before, it’s really interesting to connect sounds to images. I will do that more often for sure</t>
  </si>
  <si>
    <t>1. Owls have muffled silent flight 
2. ⁠during WW1 and WW2 pigeons achieved 95% success rate in delivering vital messages across enemy lines 
3. ⁠most colourful bird on earth is rainbow lorikeet (parrot)</t>
  </si>
  <si>
    <t>So there is  a pigeon on my balcony(not the most beautiful bird) that is currently hatching her egg. 
I picture her observing me in the evening when I return home and I am finally relaxed. And I can start doing what I actually love, either reading, knitting or watching Netflix 🤭 I noticed how calm and cozy my home environment can look from outsiders eyes. Just imagining the  lighting and the room colours of my room made me feel relaxed</t>
  </si>
  <si>
    <t>I’m in Madeira and I saw this sort of looking duck. I thought the red spot in their faces made them look like superheroes😅 and gave them a layer of mastery. It was quite eye catching and it made me think of a white canvas with a spot of colour on it</t>
  </si>
  <si>
    <t>This is surprising. We thing we are helping out nature but we are putting it in danger istead. I’m glad there are studies and association that study nature and animals to understand what can put them  in danger and how to help them</t>
  </si>
  <si>
    <t>Hmmm. I’m not sure what I noticed in my body that I could relate to the birdsong but I was visualising trees and a summers’ day. I had my eyes closed and it did feel like a mini-escape from my currently very busy head. The blackbird is one of the favourite and most comforting birdsongs for me.</t>
  </si>
  <si>
    <t>Aw, thank you, Robin! I’m so pleased for you. It is a wonderful day, indeed, I also love the sunshine! I do have a sense of wonder each day and gratitude for our world and for being alive. But not joy at the moment. I wonder if you feel joy when you sing? It sounds like it! X</t>
  </si>
  <si>
    <t>I enjoyed the little fact. We have lots of blue tits in our garden. Cute little fellas. You can’t help but smile.</t>
  </si>
  <si>
    <t>Funny. I sat outside. In the evening. Usually there are lots of birds about. And I could hear perhaps a Robin but faintly and a very noisy, persistent, magpie. Obviously cross about something. Loud. Screechy. Scratchy. 
I still felt at peace tho. And amused at the busy-bodying of the magpie. Taking over the soundscape. Overwriting the delicate fluttering twitters of the smaller, less assertive, less cross birds. I enjoyed it. Thank you for making me do it! Hmm. I do acknowledge them but it gives me a shiver of superstition and foreboding! I actually had never listened to the end of the poem so thank you for introducing me to that. 9 is a lot to aim for, rarely seen. Befitting the improbable nature of true love!! Actually I don’t like the feeling of superstition. I find it a bit threatening. Taps in to some latent OCD tendencies from childhood I think.</t>
  </si>
  <si>
    <t>I love that some birds have perfect white feathers. That albatross don’t land for 12 months and swans mate for life. I once mistook a hummingbird for a bear. That’s 4 things. Sorry 😁 [I watched the osprey cam]</t>
  </si>
  <si>
    <t>this audio thing is cool! Like clarity in my mind, calming of stress, chest feeling more open, my mind isn't whizzing with any anxiety or worries, breathing more slowly, more aware of my body where my legs feel heavy and tired, more clarity with vision which usually happens when I feel less stressed</t>
  </si>
  <si>
    <t>I think Robin, I am taking for granted the beauty in the everyday that you find so charming, I am constantly rushing around and thinking ahead to the future. I think you are living more in the present as you have to be. There is much I could learn from spending some time with you without any distractions! I really like the interaction like on a daily basis of doing a small task to collect this kind of mindfullness data!!</t>
  </si>
  <si>
    <t>I think I saw a mum and two babies in my garden the other day but not today sadly! It’s nice knowing there is familiarity in this ever changing modern world. Cool to learn about how they learnt new trips and adapted to our behaviour changes - I am sure they still do now</t>
  </si>
  <si>
    <t>I knew that robins were common but nice to know the other two were also around. Feeling surprised they are awake before me!</t>
  </si>
  <si>
    <t>I didn't see a magpie today although I do see them sometimes. I don't really believe in the superstitions, so I don't greet magpies, but I do think they are beautiful and a sign of good luck. My grandparents always used to greet them, which was really sweet. I like that we have a story associated with them, it makes them feel like a piece of living shared history</t>
  </si>
  <si>
    <t>The ability to sing, Small but mighty, Consistency</t>
  </si>
  <si>
    <t>The robin slept in a tree; it woke up before the rest of the world. The street looks dynamic when it's flying. Everything is huge to the robin, and it finds solace in nature and comfort from the other bird calls it encounters as it starts it day.</t>
  </si>
  <si>
    <t>I saw lots of birds today. Black bird, parakeet, wood pigeon, swan, moorhen. Some ducks too and swans. Swans swimming just birds swimming anf a seagull too. They go at their own pace!</t>
  </si>
  <si>
    <t>I heard about this from a friend. I feel conflicted because I wanted to start feeding birds but then I don't want to harm them so I guess I will admire them from afar</t>
  </si>
  <si>
    <t>I didn't notice anything specific in my body, but I definitely felt more aware of how it was feeling. Like I noticed that I was hunched over and tensed up in the shoulders which then encouraged me to adopt a more relaxed pose.</t>
  </si>
  <si>
    <t>1. I didn't think so when I first woke up because I was stressing about some travel plans that involve lots of logistics. But you're right, it is a perfectly good day to be alive as I'm able to have and take the opportunities I want to.
2. The letter made me feel sad that I hadn't taken time to notice something good or positive today</t>
  </si>
  <si>
    <t>I enjoyed learning the fact and it made me reflect on how we often group birds together rather than noticing their uniqueness / adaptations. I think I spotted a baby one in the garden near the shed. The activity encouraged me to sit by a window more to be able to look outside periodically, which was a pleasant way to spend a work day</t>
  </si>
  <si>
    <t>Discovering these made me feel curious, as it was nice to know how many different types of birds there were in the area. It encouraged me to listen out as well and pick out some differences in the bird songs which was quite relaxing</t>
  </si>
  <si>
    <t>1. I didn't see any magpies today 
2. n/a
3. it does make me think its a bit unfair that we consider them bad luck when they're not in pairs</t>
  </si>
  <si>
    <t>I find it beautiful when they have contrasting coloured feathers that make them striking, like the white and black on magpies.
I find it beautiful when they make a series of quick chirps together like a song.
I find it beautiful when they fly together in groups.</t>
  </si>
  <si>
    <t>The bird flew over and saw everyone go inside when it started raining. I noticed that we don't embrace nature as much as birds do really</t>
  </si>
  <si>
    <t>I had no idea about this, and I'm glad I do now. It's a good reminder that we have a responsibility to the living world around us. it's also made me reflect on how non-seasonally our lives as humans are, which is sad in a way as I think it's degrading our connection with nature</t>
  </si>
  <si>
    <t>For day 1s audio, I felt chills almost goosebumps like I may experience when meditating</t>
  </si>
  <si>
    <t>Thankyou Robin, for reminding me to appreciate the simple things today. The letter made me sit back and reflect in gratitude 🙏🏽</t>
  </si>
  <si>
    <t>I actually saw one fly past my window yesterday and it felt lovely to know the story and salute, I’ve never really adopted the tradition but people around me do and it’s nice to have more clarity and to join in</t>
  </si>
  <si>
    <t>I’m yet to discover any bird calls but I’m excited for when I do, will go to the park when I can! As soon as I left my front door I heard loads of bird calls, usually I wouldn’t be looking for them so I suppose they usually go unnoticed, turns out it was a European Robin 🥹</t>
  </si>
  <si>
    <t>Calming, the anxiety in my stomach that had been there all day has subsided, I became more present and was paying attention to the sounds</t>
  </si>
  <si>
    <t>Definitely a good day to be alive. Im back home in mauritius at the moment and very appreciative of the warm sunshine. I see so many more of your bird friends here, theyre not afraid to sit around the courtyard amidst all the movement.</t>
  </si>
  <si>
    <t>Loving, peaceful, elegant</t>
  </si>
  <si>
    <t>Done, found magpie and said good morning. Felt a bit weird saying morning to bird but not bad. Yh knowing the history does paint a positive picture</t>
  </si>
  <si>
    <t>i am not a very meditative person generally and have always struggled with auditory meditation, but found this listening very peaceful. I listened with my eyes closed, felt my heart slow a little, I didn’t quite feel myself relax but geting closer to it. I seemed to resonate with the sort of trills throughout.</t>
  </si>
  <si>
    <t>It was soothing, my shoulders went lax</t>
  </si>
  <si>
    <t>It makes me feel nostalgic and like I miss the simple rays of sunshine on hard days. A perfectly good day to be alive feels bittersweet, because all days are good days to be alive but sometimes life throws such curveballs that it feels quite hard to remember it's good to be alive.</t>
  </si>
  <si>
    <t>Was very interesting. Not much in my body. But nice sounds</t>
  </si>
  <si>
    <t>There is a whole world out there that we don’t even notice because we are so busy. We should be grateful for waking up everyday and appreciate the little things more</t>
  </si>
  <si>
    <t>No I did not as I was indoor most of the day</t>
  </si>
  <si>
    <t>It felt very funny as though I was being condescending as I feel as though the magpie doesn’t understand what I’m saying
Not really, I still see them the same</t>
  </si>
  <si>
    <t>The colours 
The fact they can fly
The fact that they are free to do whatever they want whenever</t>
  </si>
  <si>
    <t>Was very dark and beautiful as through they have a secret world they disappear off to</t>
  </si>
  <si>
    <t>Unfortunately not.</t>
  </si>
  <si>
    <t>It was very fun to discover the birds. I could see and identify a couple of them but using the app made me pay closer attention to the specific sounds. It was cool to realise the variety of birds around - I was in a little nature reserve so it was apparent that there was variety but nice to take a couple minutes just to focus on the sounds</t>
  </si>
  <si>
    <t>1. I'm not sure what a perfectly good day to be alive or not alive is. I'm glad that there are some things that can enjoy the everyday experience. I wonder what the worm thought about it's day before it ended.
2. Slightly bemused, I thought about something watching me/observing me and it being neutral/curious/positive. That's not a normal experience I don't often feel observed.</t>
  </si>
  <si>
    <t>1. Yes there was one in my courtyard, I also think I hear them in the mornings. I often see them in the bushes near my flat.
2. I didn't know they were able to open bottles, I see them in Brighton and but in Scandinavia there were lots of little birds (sparrows) and no pigeons etc. It would nice if the wildlife here was more like this rather than in small pockets.</t>
  </si>
  <si>
    <t>I did not notice any drastic changes but I did feel the need to breath in and out more. It did make me realise how tense I felt and feel the need to lay down.</t>
  </si>
  <si>
    <t>I dont feel as though I can relate to the Robin righ now. It makes me wish I didn't have so much work to do every day so I can relax.</t>
  </si>
  <si>
    <t>I tried to spot the blue tit but sadly could not. I did manage to see a magpie. I enjoyed learning this fact and wish I could have spotted one in real life.</t>
  </si>
  <si>
    <t>Hello - I instantly felt more relaxed, calmer and more in the moment. Felt happy and uplifted. Body feels less tense.</t>
  </si>
  <si>
    <t>i literally think this is so cute. “i found the most wonderful worm”</t>
  </si>
  <si>
    <t>okay none spotted so far xx i’m in bed xx</t>
  </si>
  <si>
    <t>this robin makes me feel so warm and fuzzy. it’s a very sweet message that makes me feel like maybe life isn’t so serious and it’s all about the small things. lovely robin, lovely message.</t>
  </si>
  <si>
    <t>Hey, 
im not sure youre gonna count it but you caught me mid move so I forgot to send it!
Day 1: no lie this gave me a crazy reset, like a sense of urgency I had all day just disappeared. Racing thoughts kinda stopped for a bit. Super nice to listen to, I played it a few times.
Day 2: not done :(
Day 3: part 1: counting 
Part 2: thats super cool to hear theyre social beyond presence also!</t>
  </si>
  <si>
    <t>No birds :( 
This is in my garden! So pretty sad there’s no birds,
Maybe they think am a predator ! This is some pretty incredible shit icl. The first time I know what makes what sound. Very cool to be able to identify what is what</t>
  </si>
  <si>
    <t>Woke up in a tree, safe from harm and relatively invisible. Start my day with gospel with friends, praying for life health and sustenance with the boys. Take in the sunrise from above and fly over the city. I watch as the sun colours roofs, the walls then eventually streets, parks and gardens. I descend at “the spot” a mate always leaves a stash there, like clockwork. All the boys are there, and we eat over laughs and gossip. A nap is taken again where im unseen, the gutter of a familiar house, we pile up on one frog facing a flock on the other. We stare at the masses, the ops (for a moment). Roleplay occupies our time. Everything feels so small, and yet when we need to descend everything feels so big. This juxtaposition between satisfaction and safety and pursuit and danger is interesting and id never thought about it…</t>
  </si>
  <si>
    <t>I saw a parakeet today! The three things I thought were genuinely beautiful were:
1. The bright colours on its feathers - there were streaks of blue as well as green!
2. ⁠The sound it makes - its call sounds so happy!
3. ⁠a fun fact I found out is that they’re not native to the UK but started breeding in London decades ago and have remained</t>
  </si>
  <si>
    <t>Not a particularly exciting bird but I’ve chosen a rock pigeon because I have them come to visit my balcony all the time :)
I imagine the pigeon starts its day somewhere safe, where it has slept all night. It gets up around dawn, flies over to my balcony to perch among the plants, then flies off once it’s been shooed away by me/my boyfriend. Then it goes to spend the rest of the day flying around Greenwich Park with its friends.
It was quite fun to think about a bird’s life - I’ve never done this before so got me thinking creatively!</t>
  </si>
  <si>
    <t>Desensitised. Everything is fucked… what’s one more thing?</t>
  </si>
  <si>
    <t>Long tailed tit, because it’s so pretty and I’ve never seen one</t>
  </si>
  <si>
    <t>i dont think much of birds, but i do find it very interesting how they use colour. like pigeons use oil to make themselves more colourful and I understand that by their colour you actually see whether they are healthy or not. Also I found out that they use the space in their bones to breath(???) it's like they're using their bones for lungs. And a third I would say the ability to fish. It is crazy how some birds can just dive down into the water and just catch fish which looks random but is actually calculated.</t>
  </si>
  <si>
    <t>would've loved to do this but my eye only catches pigeons because they are not afraid anymore of people. im really bad at this</t>
  </si>
  <si>
    <t>it is very interesting how you can feed safely within some seasons, but not during these seasons and I guess it is because of the hot weather. This information makes me feel wholesome when thinking that we are not the only ones who can enjoy clean water (even though we destroy so much nature). it makes sense that we have to change the water regularly and that we have to clean the feeder's, but somehow I never thought about this until now.</t>
  </si>
  <si>
    <t>I picked a kite. I think it slept in a tree last night. We don’t see them exactly over where I live but I guess they fly high so can see a lot of streets, fields, roads and hedges when they fly. That’s the part of their day they enjoy the most-soaring above the fields and hedgerows at the edge of the motorway. But it is also pressured. Scanning the ground below for a probable morsel.</t>
  </si>
  <si>
    <t>Will do! Not sure how well Merlin will work on my phone as the microphone is awful, if it says it hears a lyrebird I really won't know what to trust</t>
  </si>
  <si>
    <t>Curious about the disease, sad because some birds way prefer seeds 😔</t>
  </si>
  <si>
    <t>I wanna see a parakeet ???</t>
  </si>
  <si>
    <t>hello local robin! this was a hard message to hear at the time - it was a perfectly good day, but i struggled to see the little lights and positives of life</t>
  </si>
  <si>
    <t>accidentally merged tasks 3 and 4 -- I was looking out for a blue tit that I never found, but did pick one up through merlin ID at that moment too! I was running really early for a train, left the bookshop I was at to sit in the park for a few minutes to observe and listen to the birds (the latter was much easier). also did not realise how tiny they were! no surprise I found them so hard to spot</t>
  </si>
  <si>
    <t>I think i felt unaware of my surroundings for a few sounds because i was compelety focused on the sound the birds were making</t>
  </si>
  <si>
    <t>I dont ever remember seeing you. I guess its because i havent been paying enough attention to my surrondings</t>
  </si>
  <si>
    <t>i am looking at many patterns, they are houses with trees. i am soaring through the air with no apparent destination. i remember a spot i used to find a bird feeder at, so i fly low for it. i notice it is empty so i just start flying low above the trees to maybe find another one. as I sit on a branch to scout for food, a squirrel pops up out of nowhere so I fly away. after flying for a while i finally see my peers gathered on a green plot of land so I join them. it soon starts raining so i have to head back to my nest. as i get there, i notice that my nest is laying sideways on another branch. i have to start it all over again.
i think that birds dont even pay much attention to things they do not understand, such as houses or cars. i think they look only to the natural side of things, because that's what they use and are familiar with. sounds almost impossible to corrupt which is lovely</t>
  </si>
  <si>
    <t>Sedge warbler. 
Very busy bird! Quite stressful to watch!! Constantly moving. Very varied call. Sounds a bit like an old dot-matrix printer! And then some beautiful song in between.</t>
  </si>
  <si>
    <t>At first the song made me feel quite sleepy, I wanted to close my eyes and lay down, it also did a good job at distracting me/emptying my head of what was in it before, very mentally refreshing 
Then I got distracted by the cool sound visuals but that's my fault not the blackbirds</t>
  </si>
  <si>
    <t>"My grandmother used to talk about blue tits stealing the cream off the milk! I think I saw one but the lil guy was pretty fast, landed did a few hoppity pecks and flew off within about two seconds 
I feel the fact is overly adorable and they are too small 🥺 they need more cream so they weigh more!"</t>
  </si>
  <si>
    <t>I did it earlier but the magpie was kinda far away and leaving so I sort of mumbled it a bit wistfully so he definitely didn't hear me - I should also report that it wasn't in the morning so the magpie would have probably been confused even if he had heard 
It doesn't really change how I see magpies, but I already had a very fond opinion of them die to reading My family and other animals a lot growing up</t>
  </si>
  <si>
    <t xml:space="preserve">in london, i am always enamoured by how adapted birds here are to urban areas - as much as they are seen as pests, I love how integrated pigeons in particular are with people.. at my parents house, they have a window that looks over a super empty skyline where I can see all the birds, and there is one species (not sure which!) that moves in bursts and drops, and I find it so so beautiful and cool to watch. 
similarly, there are tiny birds that flit between hedges when we drive up in Scotland, and i love how they move (although am terrified they will fly too close!!)
</t>
  </si>
  <si>
    <t>I’m surprised by the gulls (Black headed and herring) . I’m 1km in land so surprised that they have been spotted! I’m not surprised they are here but I am amazed at the amount of robins I am hearing at the moment. Though it’s harder to spot them!</t>
  </si>
  <si>
    <t>I allways salute a loan magpie (tradition again!).  When I greated a pair in Finsbury Park, I did feel a bit stupid, but it was nice and thought they understood.  Also so old that I know a lot about Magpies from this 7s kid show  https://youtu.be/wp1TG9KaEAg?si=XW2oOvFodq1AY5vX  It was ITVs version of Blue Peter</t>
  </si>
  <si>
    <t>I did it for closer to 1 minutes because I was curious to see what other birds there would be. I was pleased to discover there were so many different birds in my area! When I first moved here, there didn't seem to be much wildlife. This activity brought me joy 😊</t>
  </si>
  <si>
    <t>Hi my three facts are about wrens nest 
More than 6 Wrens were once found snuggled up together in a nest box to keep warm!
Males make the wrens nest 
Dead hedges make ideal habitats for the bids</t>
  </si>
  <si>
    <t>Initially vigilant/stressed as I associate the sound with waking up
It's similar to an alarm, but after a about the 3 second mark, it's less sharp.
Feels more like positive ambient noise. Not any body "feelings", but it's pleasant/relaxing/feels normal/natural</t>
  </si>
  <si>
    <t>Penguins can jump 3m high
They (birds generally) can reach a heart rate of 12bpm while flying
Crowd see in ultraviolet so to each other theyre blue an purple. Fun one</t>
  </si>
  <si>
    <t>this is so interesting. I found the rose-ringed parakeet and I actually saw them when I moved in the area. they fly in swarms of 3-6, somtimes i even saw like 1 of them. (i only saw 3 instances of them) and I was so amazed! I thought these were just normal house parrots and seeing them fly I thought to myself that it is so barbaric to cage them. I spent some time thinking of all the parrots in cages I interacted with and how I would feel to be locked up like that.</t>
  </si>
  <si>
    <t>Reassured.  
Pleased that it is still possible to support birds. 
Pleased for my father-in-law who, in his 8s feeds the birds every day and believes the robins now expect it and come when they see him coming out of his flat. Gives him a lot of pleasure (also because he beats the squirrels)</t>
  </si>
  <si>
    <t xml:space="preserve">PTPS measures missing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</si>
</sst>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Calibri"/>
      <family val="2"/>
    </font>
    <font>
      <sz val="11"/>
      <color theme="0"/>
      <name val="Calibri"/>
      <family val="2"/>
      <scheme val="minor"/>
    </font>
    <font>
      <b/>
      <sz val="11"/>
      <color theme="0"/>
      <name val="Calibri"/>
      <family val="2"/>
      <scheme val="minor"/>
    </font>
    <font>
      <b/>
      <sz val="11"/>
      <color theme="0"/>
      <name val="Calibri (Body)"/>
    </font>
    <font>
      <sz val="11"/>
      <color theme="0"/>
      <name val="Calibri (Body)"/>
    </font>
  </fonts>
  <fills count="15">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6"/>
        <bgColor indexed="64"/>
      </patternFill>
    </fill>
    <fill>
      <patternFill patternType="solid">
        <fgColor theme="4"/>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bgColor indexed="64"/>
      </patternFill>
    </fill>
    <fill>
      <patternFill patternType="solid">
        <fgColor theme="3"/>
        <bgColor indexed="64"/>
      </patternFill>
    </fill>
    <fill>
      <patternFill patternType="solid">
        <fgColor theme="3" tint="0.79998168889431442"/>
        <bgColor indexed="64"/>
      </patternFill>
    </fill>
    <fill>
      <patternFill patternType="solid">
        <fgColor rgb="FFFFC0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s>
  <cellStyleXfs count="1">
    <xf numFmtId="0" fontId="0" fillId="0" borderId="0"/>
  </cellStyleXfs>
  <cellXfs count="30">
    <xf numFmtId="0" fontId="0" fillId="0" borderId="0" xfId="0"/>
    <xf numFmtId="0" fontId="0" fillId="10" borderId="0" xfId="0" applyFill="1"/>
    <xf numFmtId="0" fontId="0" fillId="0" borderId="0" xfId="0" applyAlignment="1">
      <alignment horizontal="left" vertical="center"/>
    </xf>
    <xf numFmtId="0" fontId="3" fillId="12" borderId="0" xfId="0" applyFont="1" applyFill="1" applyAlignment="1">
      <alignment horizontal="left" vertical="center" wrapText="1"/>
    </xf>
    <xf numFmtId="0" fontId="0" fillId="13" borderId="1" xfId="0" applyFill="1" applyBorder="1" applyAlignment="1">
      <alignment horizontal="left" vertical="center"/>
    </xf>
    <xf numFmtId="0" fontId="3" fillId="12" borderId="1" xfId="0" applyFont="1" applyFill="1" applyBorder="1" applyAlignment="1">
      <alignment horizontal="left" vertical="center" wrapText="1"/>
    </xf>
    <xf numFmtId="0" fontId="0" fillId="0" borderId="1" xfId="0" applyBorder="1"/>
    <xf numFmtId="0" fontId="0" fillId="11" borderId="1" xfId="0" applyFill="1" applyBorder="1"/>
    <xf numFmtId="0" fontId="2" fillId="9" borderId="1" xfId="0" applyFont="1" applyFill="1" applyBorder="1" applyAlignment="1">
      <alignment horizontal="left" vertical="center"/>
    </xf>
    <xf numFmtId="0" fontId="5" fillId="2" borderId="1" xfId="0" applyFont="1" applyFill="1" applyBorder="1" applyAlignment="1">
      <alignment horizontal="left" vertical="center"/>
    </xf>
    <xf numFmtId="0" fontId="6" fillId="2" borderId="1" xfId="0" applyFont="1" applyFill="1" applyBorder="1" applyAlignment="1">
      <alignment horizontal="left"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3" fillId="5" borderId="1" xfId="0" applyFont="1" applyFill="1" applyBorder="1" applyAlignment="1">
      <alignment horizontal="left" vertical="center"/>
    </xf>
    <xf numFmtId="0" fontId="2" fillId="2" borderId="1" xfId="0" applyFont="1" applyFill="1" applyBorder="1" applyAlignment="1">
      <alignment horizontal="left" vertical="center"/>
    </xf>
    <xf numFmtId="0" fontId="2" fillId="8" borderId="1" xfId="0" applyFont="1" applyFill="1" applyBorder="1" applyAlignment="1">
      <alignment horizontal="left" vertical="center"/>
    </xf>
    <xf numFmtId="0" fontId="0" fillId="10" borderId="1" xfId="0" applyFill="1" applyBorder="1" applyAlignment="1">
      <alignment vertical="center" wrapText="1"/>
    </xf>
    <xf numFmtId="0" fontId="0" fillId="0" borderId="1" xfId="0" applyBorder="1" applyAlignment="1">
      <alignment vertical="center" wrapText="1"/>
    </xf>
    <xf numFmtId="0" fontId="1" fillId="3" borderId="1" xfId="0" applyFont="1" applyFill="1" applyBorder="1" applyAlignment="1">
      <alignment vertical="center" wrapText="1"/>
    </xf>
    <xf numFmtId="0" fontId="0" fillId="3" borderId="1" xfId="0" applyFill="1" applyBorder="1" applyAlignment="1">
      <alignment vertical="center" wrapText="1"/>
    </xf>
    <xf numFmtId="0" fontId="1" fillId="6" borderId="1" xfId="0" applyFont="1" applyFill="1" applyBorder="1" applyAlignment="1">
      <alignment vertical="center" wrapText="1"/>
    </xf>
    <xf numFmtId="0" fontId="0" fillId="7" borderId="1" xfId="0" applyFill="1" applyBorder="1" applyAlignment="1">
      <alignment vertical="center" wrapText="1"/>
    </xf>
    <xf numFmtId="0" fontId="0" fillId="11" borderId="1" xfId="0" applyFill="1" applyBorder="1" applyAlignment="1">
      <alignment vertical="center" wrapText="1"/>
    </xf>
    <xf numFmtId="0" fontId="1" fillId="11" borderId="1" xfId="0" applyFont="1" applyFill="1" applyBorder="1" applyAlignment="1">
      <alignment vertical="center" wrapText="1"/>
    </xf>
    <xf numFmtId="0" fontId="0" fillId="10" borderId="1" xfId="0" applyFill="1" applyBorder="1"/>
    <xf numFmtId="0" fontId="3" fillId="12" borderId="0" xfId="0" applyFont="1" applyFill="1" applyAlignment="1">
      <alignment vertical="center" wrapText="1"/>
    </xf>
    <xf numFmtId="0" fontId="0" fillId="14" borderId="1" xfId="0" applyFill="1" applyBorder="1" applyAlignment="1">
      <alignment horizontal="left" vertical="center" wrapText="1"/>
    </xf>
    <xf numFmtId="0" fontId="0" fillId="14" borderId="2" xfId="0" applyFill="1" applyBorder="1" applyAlignment="1">
      <alignment horizontal="left" vertical="center" wrapText="1"/>
    </xf>
    <xf numFmtId="0" fontId="0" fillId="11" borderId="1" xfId="0" applyFill="1" applyBorder="1" applyAlignment="1">
      <alignment horizontal="left" vertical="center" wrapText="1"/>
    </xf>
    <xf numFmtId="0" fontId="0" fillId="11" borderId="2"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2"/>
  <sheetViews>
    <sheetView tabSelected="1" zoomScale="63" zoomScaleNormal="45" workbookViewId="0">
      <pane xSplit="1" topLeftCell="B1" activePane="topRight" state="frozen"/>
      <selection pane="topRight" activeCell="AN1" sqref="AM1:AN1048576"/>
    </sheetView>
  </sheetViews>
  <sheetFormatPr baseColWidth="10" defaultColWidth="8.83203125" defaultRowHeight="15" x14ac:dyDescent="0.2"/>
  <cols>
    <col min="1" max="1" width="7.5" style="1" customWidth="1"/>
    <col min="2" max="2" width="10.5" customWidth="1"/>
    <col min="3" max="3" width="10.1640625" bestFit="1" customWidth="1"/>
    <col min="4" max="4" width="9.5" bestFit="1" customWidth="1"/>
    <col min="5" max="5" width="10.1640625" bestFit="1" customWidth="1"/>
    <col min="6" max="6" width="10.6640625" customWidth="1"/>
    <col min="7" max="7" width="10.1640625" bestFit="1" customWidth="1"/>
    <col min="8" max="9" width="11.1640625" customWidth="1"/>
    <col min="10" max="10" width="9.83203125" customWidth="1"/>
    <col min="11" max="11" width="10.1640625" bestFit="1" customWidth="1"/>
    <col min="12" max="12" width="10" bestFit="1" customWidth="1"/>
    <col min="13" max="17" width="10.33203125" bestFit="1" customWidth="1"/>
    <col min="18" max="18" width="46" customWidth="1"/>
    <col min="19" max="19" width="45.1640625" customWidth="1"/>
    <col min="20" max="20" width="29" customWidth="1"/>
    <col min="21" max="21" width="31.5" customWidth="1"/>
    <col min="22" max="22" width="33.83203125" customWidth="1"/>
    <col min="23" max="23" width="32.5" bestFit="1" customWidth="1"/>
    <col min="24" max="24" width="32.1640625" bestFit="1" customWidth="1"/>
    <col min="25" max="25" width="30.33203125" customWidth="1"/>
    <col min="26" max="26" width="33.83203125" customWidth="1"/>
    <col min="27" max="27" width="34.1640625" customWidth="1"/>
    <col min="28" max="28" width="15" bestFit="1" customWidth="1"/>
    <col min="29" max="29" width="12.6640625" bestFit="1" customWidth="1"/>
    <col min="30" max="30" width="12.6640625" customWidth="1"/>
    <col min="31" max="31" width="13.83203125" bestFit="1" customWidth="1"/>
    <col min="32" max="32" width="11.83203125" bestFit="1" customWidth="1"/>
    <col min="33" max="33" width="6" bestFit="1" customWidth="1"/>
    <col min="34" max="34" width="43.5" bestFit="1" customWidth="1"/>
    <col min="35" max="35" width="50.83203125" customWidth="1"/>
    <col min="36" max="36" width="32.1640625" customWidth="1"/>
    <col min="37" max="37" width="36.83203125" customWidth="1"/>
    <col min="38" max="38" width="40.5" customWidth="1"/>
  </cols>
  <sheetData>
    <row r="1" spans="1:38" s="2" customFormat="1" ht="64" x14ac:dyDescent="0.2">
      <c r="A1" s="8" t="s">
        <v>0</v>
      </c>
      <c r="B1" s="9" t="s">
        <v>74</v>
      </c>
      <c r="C1" s="10" t="s">
        <v>75</v>
      </c>
      <c r="D1" s="9" t="s">
        <v>76</v>
      </c>
      <c r="E1" s="10" t="s">
        <v>77</v>
      </c>
      <c r="F1" s="9" t="s">
        <v>78</v>
      </c>
      <c r="G1" s="10" t="s">
        <v>79</v>
      </c>
      <c r="H1" s="9" t="s">
        <v>80</v>
      </c>
      <c r="I1" s="10" t="s">
        <v>81</v>
      </c>
      <c r="J1" s="9" t="s">
        <v>82</v>
      </c>
      <c r="K1" s="10" t="s">
        <v>83</v>
      </c>
      <c r="L1" s="11" t="s">
        <v>300</v>
      </c>
      <c r="M1" s="11" t="s">
        <v>299</v>
      </c>
      <c r="N1" s="11" t="s">
        <v>301</v>
      </c>
      <c r="O1" s="11" t="s">
        <v>302</v>
      </c>
      <c r="P1" s="11" t="s">
        <v>303</v>
      </c>
      <c r="Q1" s="11" t="s">
        <v>304</v>
      </c>
      <c r="R1" s="12" t="s">
        <v>85</v>
      </c>
      <c r="S1" s="13" t="s">
        <v>86</v>
      </c>
      <c r="T1" s="12" t="s">
        <v>87</v>
      </c>
      <c r="U1" s="13" t="s">
        <v>88</v>
      </c>
      <c r="V1" s="12" t="s">
        <v>89</v>
      </c>
      <c r="W1" s="13" t="s">
        <v>90</v>
      </c>
      <c r="X1" s="12" t="s">
        <v>91</v>
      </c>
      <c r="Y1" s="13" t="s">
        <v>92</v>
      </c>
      <c r="Z1" s="12" t="s">
        <v>93</v>
      </c>
      <c r="AA1" s="13" t="s">
        <v>94</v>
      </c>
      <c r="AB1" s="12" t="s">
        <v>95</v>
      </c>
      <c r="AC1" s="14" t="s">
        <v>84</v>
      </c>
      <c r="AD1" s="14" t="s">
        <v>160</v>
      </c>
      <c r="AE1" s="11" t="s">
        <v>306</v>
      </c>
      <c r="AF1" s="15" t="s">
        <v>96</v>
      </c>
      <c r="AG1" s="15" t="s">
        <v>1</v>
      </c>
      <c r="AH1" s="4" t="s">
        <v>307</v>
      </c>
      <c r="AI1" s="5" t="s">
        <v>305</v>
      </c>
      <c r="AJ1" s="25" t="s">
        <v>308</v>
      </c>
      <c r="AK1" s="25" t="s">
        <v>309</v>
      </c>
      <c r="AL1" s="3" t="s">
        <v>310</v>
      </c>
    </row>
    <row r="2" spans="1:38" ht="224" x14ac:dyDescent="0.2">
      <c r="A2" s="16" t="s">
        <v>2</v>
      </c>
      <c r="B2" s="18">
        <v>3</v>
      </c>
      <c r="C2" s="19">
        <v>5</v>
      </c>
      <c r="D2" s="18">
        <v>5</v>
      </c>
      <c r="E2" s="19">
        <v>5</v>
      </c>
      <c r="F2" s="18">
        <v>5</v>
      </c>
      <c r="G2" s="19">
        <v>4</v>
      </c>
      <c r="H2" s="18">
        <v>5</v>
      </c>
      <c r="I2" s="19">
        <v>5</v>
      </c>
      <c r="J2" s="18">
        <v>3</v>
      </c>
      <c r="K2" s="19">
        <v>4</v>
      </c>
      <c r="L2" s="20">
        <v>2</v>
      </c>
      <c r="M2" s="20">
        <v>2</v>
      </c>
      <c r="N2" s="20">
        <v>5</v>
      </c>
      <c r="O2" s="20">
        <v>2</v>
      </c>
      <c r="P2" s="20">
        <v>2</v>
      </c>
      <c r="Q2" s="20">
        <v>3</v>
      </c>
      <c r="R2" s="21" t="s">
        <v>117</v>
      </c>
      <c r="S2" s="21" t="s">
        <v>118</v>
      </c>
      <c r="T2" s="21" t="s">
        <v>150</v>
      </c>
      <c r="U2" s="21" t="s">
        <v>184</v>
      </c>
      <c r="V2" s="21" t="s">
        <v>185</v>
      </c>
      <c r="W2" s="21" t="s">
        <v>186</v>
      </c>
      <c r="X2" s="21" t="s">
        <v>187</v>
      </c>
      <c r="Y2" s="21" t="s">
        <v>189</v>
      </c>
      <c r="Z2" s="21" t="s">
        <v>188</v>
      </c>
      <c r="AA2" s="21" t="s">
        <v>190</v>
      </c>
      <c r="AB2" s="21">
        <f>COUNTA(R2:AA2)</f>
        <v>10</v>
      </c>
      <c r="AC2" s="17">
        <f t="shared" ref="AC2:AC33" si="0">SUM(B2+D2+F2+H2+J2)/5</f>
        <v>4.2</v>
      </c>
      <c r="AD2" s="17">
        <f t="shared" ref="AD2:AD33" si="1">SUM(C2+E2+G2+I2+K2)/5</f>
        <v>4.5999999999999996</v>
      </c>
      <c r="AE2" s="17">
        <f>ROUND(SUM(L2:Q2)/6, 2)</f>
        <v>2.67</v>
      </c>
      <c r="AF2" s="17">
        <v>0</v>
      </c>
      <c r="AG2" s="17" t="s">
        <v>3</v>
      </c>
      <c r="AH2" s="6" t="s">
        <v>315</v>
      </c>
      <c r="AI2" s="26" t="s">
        <v>361</v>
      </c>
      <c r="AJ2" s="26" t="s">
        <v>362</v>
      </c>
      <c r="AK2" s="26" t="s">
        <v>363</v>
      </c>
      <c r="AL2" s="27" t="s">
        <v>314</v>
      </c>
    </row>
    <row r="3" spans="1:38" ht="48" x14ac:dyDescent="0.2">
      <c r="A3" s="16" t="s">
        <v>40</v>
      </c>
      <c r="B3" s="18">
        <v>5</v>
      </c>
      <c r="C3" s="19">
        <v>4</v>
      </c>
      <c r="D3" s="18">
        <v>7</v>
      </c>
      <c r="E3" s="19">
        <v>6</v>
      </c>
      <c r="F3" s="18">
        <v>3</v>
      </c>
      <c r="G3" s="19">
        <v>4</v>
      </c>
      <c r="H3" s="18">
        <v>5</v>
      </c>
      <c r="I3" s="19">
        <v>5</v>
      </c>
      <c r="J3" s="18">
        <v>3</v>
      </c>
      <c r="K3" s="19">
        <v>4</v>
      </c>
      <c r="L3" s="20">
        <v>5</v>
      </c>
      <c r="M3" s="20">
        <v>3</v>
      </c>
      <c r="N3" s="20">
        <v>5</v>
      </c>
      <c r="O3" s="20">
        <v>4</v>
      </c>
      <c r="P3" s="20">
        <v>4</v>
      </c>
      <c r="Q3" s="20">
        <v>5</v>
      </c>
      <c r="R3" s="21" t="s">
        <v>178</v>
      </c>
      <c r="S3" s="21"/>
      <c r="T3" s="21"/>
      <c r="U3" s="21"/>
      <c r="V3" s="21"/>
      <c r="W3" s="21"/>
      <c r="X3" s="21"/>
      <c r="Y3" s="21"/>
      <c r="Z3" s="21"/>
      <c r="AA3" s="21"/>
      <c r="AB3" s="21">
        <f t="shared" ref="AB3:AB66" si="2">COUNTA(R3:AA3)</f>
        <v>1</v>
      </c>
      <c r="AC3" s="17">
        <f t="shared" si="0"/>
        <v>4.5999999999999996</v>
      </c>
      <c r="AD3" s="17">
        <f t="shared" si="1"/>
        <v>4.5999999999999996</v>
      </c>
      <c r="AE3" s="17">
        <f t="shared" ref="AE3:AE66" si="3">ROUND(SUM(L3:Q3)/6, 2)</f>
        <v>4.33</v>
      </c>
      <c r="AF3" s="17">
        <v>1</v>
      </c>
      <c r="AG3" s="17" t="s">
        <v>3</v>
      </c>
      <c r="AH3" s="6" t="s">
        <v>315</v>
      </c>
      <c r="AI3" s="26" t="s">
        <v>389</v>
      </c>
      <c r="AJ3" s="26" t="s">
        <v>390</v>
      </c>
      <c r="AK3" s="26" t="s">
        <v>391</v>
      </c>
      <c r="AL3" s="27" t="s">
        <v>392</v>
      </c>
    </row>
    <row r="4" spans="1:38" ht="16" x14ac:dyDescent="0.2">
      <c r="A4" s="22" t="s">
        <v>41</v>
      </c>
      <c r="B4" s="23">
        <v>5</v>
      </c>
      <c r="C4" s="22"/>
      <c r="D4" s="23">
        <v>5</v>
      </c>
      <c r="E4" s="22"/>
      <c r="F4" s="23">
        <v>5</v>
      </c>
      <c r="G4" s="22"/>
      <c r="H4" s="23">
        <v>4</v>
      </c>
      <c r="I4" s="22"/>
      <c r="J4" s="23">
        <v>4</v>
      </c>
      <c r="K4" s="22"/>
      <c r="L4" s="23">
        <v>4</v>
      </c>
      <c r="M4" s="23">
        <v>5</v>
      </c>
      <c r="N4" s="23">
        <v>6</v>
      </c>
      <c r="O4" s="23">
        <v>5</v>
      </c>
      <c r="P4" s="23">
        <v>4</v>
      </c>
      <c r="Q4" s="23">
        <v>3</v>
      </c>
      <c r="R4" s="21"/>
      <c r="S4" s="21"/>
      <c r="T4" s="21" t="s">
        <v>158</v>
      </c>
      <c r="U4" s="21"/>
      <c r="V4" s="21"/>
      <c r="W4" s="21"/>
      <c r="X4" s="21"/>
      <c r="Y4" s="21"/>
      <c r="Z4" s="21"/>
      <c r="AA4" s="21"/>
      <c r="AB4" s="22">
        <f t="shared" si="2"/>
        <v>1</v>
      </c>
      <c r="AC4" s="22">
        <f t="shared" si="0"/>
        <v>4.5999999999999996</v>
      </c>
      <c r="AD4" s="22">
        <f t="shared" si="1"/>
        <v>0</v>
      </c>
      <c r="AE4" s="22">
        <f t="shared" si="3"/>
        <v>4.5</v>
      </c>
      <c r="AF4" s="22">
        <v>2</v>
      </c>
      <c r="AG4" s="22" t="s">
        <v>3</v>
      </c>
      <c r="AH4" s="7" t="s">
        <v>183</v>
      </c>
      <c r="AI4" s="28"/>
      <c r="AJ4" s="28"/>
      <c r="AK4" s="28"/>
      <c r="AL4" s="29"/>
    </row>
    <row r="5" spans="1:38" ht="365" x14ac:dyDescent="0.2">
      <c r="A5" s="16" t="s">
        <v>6</v>
      </c>
      <c r="B5" s="18">
        <v>5</v>
      </c>
      <c r="C5" s="19">
        <v>6</v>
      </c>
      <c r="D5" s="18">
        <v>5</v>
      </c>
      <c r="E5" s="19">
        <v>5</v>
      </c>
      <c r="F5" s="18">
        <v>5</v>
      </c>
      <c r="G5" s="19">
        <v>7</v>
      </c>
      <c r="H5" s="18">
        <v>5</v>
      </c>
      <c r="I5" s="19">
        <v>6</v>
      </c>
      <c r="J5" s="18">
        <v>4</v>
      </c>
      <c r="K5" s="19">
        <v>6</v>
      </c>
      <c r="L5" s="20">
        <v>5</v>
      </c>
      <c r="M5" s="20">
        <v>7</v>
      </c>
      <c r="N5" s="20">
        <v>6</v>
      </c>
      <c r="O5" s="20">
        <v>5</v>
      </c>
      <c r="P5" s="20">
        <v>7</v>
      </c>
      <c r="Q5" s="20">
        <v>4</v>
      </c>
      <c r="R5" s="21" t="s">
        <v>136</v>
      </c>
      <c r="S5" s="21" t="s">
        <v>140</v>
      </c>
      <c r="T5" s="21" t="s">
        <v>173</v>
      </c>
      <c r="U5" s="21" t="s">
        <v>191</v>
      </c>
      <c r="V5" s="21" t="s">
        <v>192</v>
      </c>
      <c r="W5" s="21" t="s">
        <v>193</v>
      </c>
      <c r="X5" s="21" t="s">
        <v>194</v>
      </c>
      <c r="Y5" s="21" t="s">
        <v>195</v>
      </c>
      <c r="Z5" s="21" t="s">
        <v>196</v>
      </c>
      <c r="AA5" s="21" t="s">
        <v>197</v>
      </c>
      <c r="AB5" s="21">
        <f t="shared" si="2"/>
        <v>10</v>
      </c>
      <c r="AC5" s="17">
        <f t="shared" si="0"/>
        <v>4.8</v>
      </c>
      <c r="AD5" s="17">
        <f t="shared" si="1"/>
        <v>6</v>
      </c>
      <c r="AE5" s="17">
        <f t="shared" si="3"/>
        <v>5.67</v>
      </c>
      <c r="AF5" s="17">
        <v>3</v>
      </c>
      <c r="AG5" s="17" t="s">
        <v>3</v>
      </c>
      <c r="AH5" s="6" t="s">
        <v>315</v>
      </c>
      <c r="AI5" s="26" t="s">
        <v>350</v>
      </c>
      <c r="AJ5" s="26"/>
      <c r="AK5" s="26" t="s">
        <v>351</v>
      </c>
      <c r="AL5" s="27" t="s">
        <v>314</v>
      </c>
    </row>
    <row r="6" spans="1:38" ht="64" x14ac:dyDescent="0.2">
      <c r="A6" s="16" t="s">
        <v>43</v>
      </c>
      <c r="B6" s="18">
        <v>5</v>
      </c>
      <c r="C6" s="19">
        <v>5</v>
      </c>
      <c r="D6" s="18">
        <v>5</v>
      </c>
      <c r="E6" s="19">
        <v>5</v>
      </c>
      <c r="F6" s="18">
        <v>5</v>
      </c>
      <c r="G6" s="19">
        <v>5</v>
      </c>
      <c r="H6" s="18">
        <v>5</v>
      </c>
      <c r="I6" s="19">
        <v>5</v>
      </c>
      <c r="J6" s="18">
        <v>5</v>
      </c>
      <c r="K6" s="19">
        <v>5</v>
      </c>
      <c r="L6" s="20">
        <v>4</v>
      </c>
      <c r="M6" s="20">
        <v>5</v>
      </c>
      <c r="N6" s="20">
        <v>6</v>
      </c>
      <c r="O6" s="20">
        <v>6</v>
      </c>
      <c r="P6" s="20">
        <v>6</v>
      </c>
      <c r="Q6" s="20">
        <v>5</v>
      </c>
      <c r="R6" s="21" t="s">
        <v>198</v>
      </c>
      <c r="S6" s="21" t="s">
        <v>111</v>
      </c>
      <c r="T6" s="21"/>
      <c r="U6" s="21"/>
      <c r="V6" s="21"/>
      <c r="W6" s="21"/>
      <c r="X6" s="21"/>
      <c r="Y6" s="21"/>
      <c r="Z6" s="21"/>
      <c r="AA6" s="21"/>
      <c r="AB6" s="21">
        <f t="shared" si="2"/>
        <v>2</v>
      </c>
      <c r="AC6" s="17">
        <f t="shared" si="0"/>
        <v>5</v>
      </c>
      <c r="AD6" s="17">
        <f t="shared" si="1"/>
        <v>5</v>
      </c>
      <c r="AE6" s="17">
        <f t="shared" si="3"/>
        <v>5.33</v>
      </c>
      <c r="AF6" s="17">
        <v>4</v>
      </c>
      <c r="AG6" s="17" t="s">
        <v>3</v>
      </c>
      <c r="AH6" s="6" t="s">
        <v>315</v>
      </c>
      <c r="AI6" s="26" t="s">
        <v>340</v>
      </c>
      <c r="AJ6" s="26" t="s">
        <v>341</v>
      </c>
      <c r="AK6" s="26" t="s">
        <v>342</v>
      </c>
      <c r="AL6" s="27" t="s">
        <v>343</v>
      </c>
    </row>
    <row r="7" spans="1:38" ht="80" x14ac:dyDescent="0.2">
      <c r="A7" s="16" t="s">
        <v>8</v>
      </c>
      <c r="B7" s="18">
        <v>5</v>
      </c>
      <c r="C7" s="19">
        <v>7</v>
      </c>
      <c r="D7" s="18">
        <v>6</v>
      </c>
      <c r="E7" s="19">
        <v>6</v>
      </c>
      <c r="F7" s="18">
        <v>5</v>
      </c>
      <c r="G7" s="19">
        <v>7</v>
      </c>
      <c r="H7" s="18">
        <v>6</v>
      </c>
      <c r="I7" s="19">
        <v>7</v>
      </c>
      <c r="J7" s="18">
        <v>4</v>
      </c>
      <c r="K7" s="19">
        <v>5</v>
      </c>
      <c r="L7" s="20">
        <v>4</v>
      </c>
      <c r="M7" s="20">
        <v>4</v>
      </c>
      <c r="N7" s="20">
        <v>6</v>
      </c>
      <c r="O7" s="20">
        <v>4</v>
      </c>
      <c r="P7" s="20">
        <v>4</v>
      </c>
      <c r="Q7" s="20">
        <v>5</v>
      </c>
      <c r="R7" s="21" t="s">
        <v>104</v>
      </c>
      <c r="S7" s="21" t="s">
        <v>199</v>
      </c>
      <c r="T7" s="21" t="s">
        <v>200</v>
      </c>
      <c r="U7" s="21"/>
      <c r="V7" s="21" t="s">
        <v>201</v>
      </c>
      <c r="W7" s="21" t="s">
        <v>202</v>
      </c>
      <c r="X7" s="21"/>
      <c r="Y7" s="21"/>
      <c r="Z7" s="21"/>
      <c r="AA7" s="21"/>
      <c r="AB7" s="21">
        <f t="shared" si="2"/>
        <v>5</v>
      </c>
      <c r="AC7" s="17">
        <f t="shared" si="0"/>
        <v>5.2</v>
      </c>
      <c r="AD7" s="17">
        <f t="shared" si="1"/>
        <v>6.4</v>
      </c>
      <c r="AE7" s="17">
        <f t="shared" si="3"/>
        <v>4.5</v>
      </c>
      <c r="AF7" s="17">
        <v>5</v>
      </c>
      <c r="AG7" s="17" t="s">
        <v>3</v>
      </c>
      <c r="AH7" s="6" t="s">
        <v>315</v>
      </c>
      <c r="AI7" s="26" t="s">
        <v>375</v>
      </c>
      <c r="AJ7" s="26" t="s">
        <v>376</v>
      </c>
      <c r="AK7" s="26" t="s">
        <v>377</v>
      </c>
      <c r="AL7" s="27" t="s">
        <v>378</v>
      </c>
    </row>
    <row r="8" spans="1:38" ht="208" x14ac:dyDescent="0.2">
      <c r="A8" s="16" t="s">
        <v>9</v>
      </c>
      <c r="B8" s="18">
        <v>3</v>
      </c>
      <c r="C8" s="19">
        <v>5</v>
      </c>
      <c r="D8" s="18">
        <v>6</v>
      </c>
      <c r="E8" s="19">
        <v>7</v>
      </c>
      <c r="F8" s="18">
        <v>6</v>
      </c>
      <c r="G8" s="19">
        <v>6</v>
      </c>
      <c r="H8" s="18">
        <v>6</v>
      </c>
      <c r="I8" s="19">
        <v>6</v>
      </c>
      <c r="J8" s="18">
        <v>5</v>
      </c>
      <c r="K8" s="19">
        <v>4</v>
      </c>
      <c r="L8" s="20">
        <v>2</v>
      </c>
      <c r="M8" s="20">
        <v>3</v>
      </c>
      <c r="N8" s="20">
        <v>3</v>
      </c>
      <c r="O8" s="20">
        <v>5</v>
      </c>
      <c r="P8" s="20">
        <v>5</v>
      </c>
      <c r="Q8" s="20">
        <v>5</v>
      </c>
      <c r="R8" s="21" t="s">
        <v>107</v>
      </c>
      <c r="S8" s="21" t="s">
        <v>108</v>
      </c>
      <c r="T8" s="21"/>
      <c r="U8" s="21" t="s">
        <v>162</v>
      </c>
      <c r="V8" s="21"/>
      <c r="W8" s="21" t="s">
        <v>203</v>
      </c>
      <c r="X8" s="21" t="s">
        <v>204</v>
      </c>
      <c r="Y8" s="21"/>
      <c r="Z8" s="21" t="s">
        <v>205</v>
      </c>
      <c r="AA8" s="21" t="s">
        <v>206</v>
      </c>
      <c r="AB8" s="21">
        <f t="shared" si="2"/>
        <v>7</v>
      </c>
      <c r="AC8" s="17">
        <f t="shared" si="0"/>
        <v>5.2</v>
      </c>
      <c r="AD8" s="17">
        <f t="shared" si="1"/>
        <v>5.6</v>
      </c>
      <c r="AE8" s="17">
        <f t="shared" si="3"/>
        <v>3.83</v>
      </c>
      <c r="AF8" s="17">
        <v>6</v>
      </c>
      <c r="AG8" s="17" t="s">
        <v>3</v>
      </c>
      <c r="AH8" s="6" t="s">
        <v>315</v>
      </c>
      <c r="AI8" s="26" t="s">
        <v>325</v>
      </c>
      <c r="AJ8" s="26" t="s">
        <v>326</v>
      </c>
      <c r="AK8" s="26" t="s">
        <v>327</v>
      </c>
      <c r="AL8" s="27" t="s">
        <v>314</v>
      </c>
    </row>
    <row r="9" spans="1:38" ht="288" x14ac:dyDescent="0.2">
      <c r="A9" s="16" t="s">
        <v>10</v>
      </c>
      <c r="B9" s="18">
        <v>6</v>
      </c>
      <c r="C9" s="19">
        <v>6</v>
      </c>
      <c r="D9" s="18">
        <v>5</v>
      </c>
      <c r="E9" s="19">
        <v>7</v>
      </c>
      <c r="F9" s="18">
        <v>6</v>
      </c>
      <c r="G9" s="19">
        <v>7</v>
      </c>
      <c r="H9" s="18">
        <v>5</v>
      </c>
      <c r="I9" s="19">
        <v>7</v>
      </c>
      <c r="J9" s="18">
        <v>5</v>
      </c>
      <c r="K9" s="19">
        <v>7</v>
      </c>
      <c r="L9" s="20">
        <v>6</v>
      </c>
      <c r="M9" s="20">
        <v>6</v>
      </c>
      <c r="N9" s="20">
        <v>3</v>
      </c>
      <c r="O9" s="20">
        <v>7</v>
      </c>
      <c r="P9" s="20">
        <v>7</v>
      </c>
      <c r="Q9" s="20">
        <v>6</v>
      </c>
      <c r="R9" s="21" t="s">
        <v>137</v>
      </c>
      <c r="S9" s="21" t="s">
        <v>139</v>
      </c>
      <c r="T9" s="21" t="s">
        <v>152</v>
      </c>
      <c r="U9" s="21" t="s">
        <v>207</v>
      </c>
      <c r="V9" s="21" t="s">
        <v>208</v>
      </c>
      <c r="W9" s="21" t="s">
        <v>209</v>
      </c>
      <c r="X9" s="21" t="s">
        <v>210</v>
      </c>
      <c r="Y9" s="21"/>
      <c r="Z9" s="21"/>
      <c r="AA9" s="21"/>
      <c r="AB9" s="21">
        <f t="shared" si="2"/>
        <v>7</v>
      </c>
      <c r="AC9" s="17">
        <f t="shared" si="0"/>
        <v>5.4</v>
      </c>
      <c r="AD9" s="17">
        <f t="shared" si="1"/>
        <v>6.8</v>
      </c>
      <c r="AE9" s="17">
        <f t="shared" si="3"/>
        <v>5.83</v>
      </c>
      <c r="AF9" s="17">
        <v>7</v>
      </c>
      <c r="AG9" s="17" t="s">
        <v>3</v>
      </c>
      <c r="AH9" s="6" t="s">
        <v>315</v>
      </c>
      <c r="AI9" s="26" t="s">
        <v>344</v>
      </c>
      <c r="AJ9" s="26" t="s">
        <v>345</v>
      </c>
      <c r="AK9" s="26" t="s">
        <v>346</v>
      </c>
      <c r="AL9" s="27" t="s">
        <v>314</v>
      </c>
    </row>
    <row r="10" spans="1:38" ht="96" customHeight="1" x14ac:dyDescent="0.2">
      <c r="A10" s="16" t="s">
        <v>11</v>
      </c>
      <c r="B10" s="18">
        <v>6</v>
      </c>
      <c r="C10" s="19"/>
      <c r="D10" s="18">
        <v>6</v>
      </c>
      <c r="E10" s="19"/>
      <c r="F10" s="18">
        <v>5</v>
      </c>
      <c r="G10" s="19"/>
      <c r="H10" s="18">
        <v>5</v>
      </c>
      <c r="I10" s="19"/>
      <c r="J10" s="18">
        <v>5</v>
      </c>
      <c r="K10" s="19"/>
      <c r="L10" s="20">
        <v>5</v>
      </c>
      <c r="M10" s="20">
        <v>7</v>
      </c>
      <c r="N10" s="20">
        <v>3</v>
      </c>
      <c r="O10" s="20">
        <v>4</v>
      </c>
      <c r="P10" s="20">
        <v>7</v>
      </c>
      <c r="Q10" s="20">
        <v>6</v>
      </c>
      <c r="R10" s="21" t="s">
        <v>131</v>
      </c>
      <c r="S10" s="21" t="s">
        <v>151</v>
      </c>
      <c r="T10" s="21" t="s">
        <v>211</v>
      </c>
      <c r="U10" s="21" t="s">
        <v>212</v>
      </c>
      <c r="V10" s="21"/>
      <c r="W10" s="21"/>
      <c r="X10" s="21"/>
      <c r="Y10" s="21"/>
      <c r="Z10" s="21"/>
      <c r="AA10" s="21"/>
      <c r="AB10" s="21">
        <f t="shared" si="2"/>
        <v>4</v>
      </c>
      <c r="AC10" s="17">
        <f t="shared" si="0"/>
        <v>5.4</v>
      </c>
      <c r="AD10" s="17">
        <f t="shared" si="1"/>
        <v>0</v>
      </c>
      <c r="AE10" s="17">
        <f t="shared" si="3"/>
        <v>5.33</v>
      </c>
      <c r="AF10" s="17">
        <v>8</v>
      </c>
      <c r="AG10" s="17" t="s">
        <v>3</v>
      </c>
      <c r="AH10" s="6" t="s">
        <v>404</v>
      </c>
      <c r="AI10" s="26"/>
      <c r="AJ10" s="26"/>
      <c r="AK10" s="26"/>
      <c r="AL10" s="27"/>
    </row>
    <row r="11" spans="1:38" ht="112" x14ac:dyDescent="0.2">
      <c r="A11" s="16" t="s">
        <v>12</v>
      </c>
      <c r="B11" s="18">
        <v>6</v>
      </c>
      <c r="C11" s="19">
        <v>7</v>
      </c>
      <c r="D11" s="18">
        <v>6</v>
      </c>
      <c r="E11" s="19">
        <v>6</v>
      </c>
      <c r="F11" s="18">
        <v>6</v>
      </c>
      <c r="G11" s="19">
        <v>7</v>
      </c>
      <c r="H11" s="18">
        <v>6</v>
      </c>
      <c r="I11" s="19">
        <v>7</v>
      </c>
      <c r="J11" s="18">
        <v>4</v>
      </c>
      <c r="K11" s="19">
        <v>6</v>
      </c>
      <c r="L11" s="20">
        <v>5</v>
      </c>
      <c r="M11" s="20">
        <v>5</v>
      </c>
      <c r="N11" s="20">
        <v>6</v>
      </c>
      <c r="O11" s="20">
        <v>5</v>
      </c>
      <c r="P11" s="20">
        <v>6</v>
      </c>
      <c r="Q11" s="20">
        <v>5</v>
      </c>
      <c r="R11" s="21" t="s">
        <v>119</v>
      </c>
      <c r="S11" s="21" t="s">
        <v>120</v>
      </c>
      <c r="T11" s="21" t="s">
        <v>157</v>
      </c>
      <c r="U11" s="21" t="s">
        <v>213</v>
      </c>
      <c r="V11" s="21" t="s">
        <v>214</v>
      </c>
      <c r="W11" s="21" t="s">
        <v>215</v>
      </c>
      <c r="X11" s="21" t="s">
        <v>216</v>
      </c>
      <c r="Y11" s="21" t="s">
        <v>217</v>
      </c>
      <c r="Z11" s="21" t="s">
        <v>218</v>
      </c>
      <c r="AA11" s="21" t="s">
        <v>219</v>
      </c>
      <c r="AB11" s="21">
        <f t="shared" si="2"/>
        <v>10</v>
      </c>
      <c r="AC11" s="17">
        <f t="shared" si="0"/>
        <v>5.6</v>
      </c>
      <c r="AD11" s="17">
        <f t="shared" si="1"/>
        <v>6.6</v>
      </c>
      <c r="AE11" s="17">
        <f t="shared" si="3"/>
        <v>5.33</v>
      </c>
      <c r="AF11" s="17">
        <v>9</v>
      </c>
      <c r="AG11" s="17" t="s">
        <v>3</v>
      </c>
      <c r="AH11" s="6" t="s">
        <v>315</v>
      </c>
      <c r="AI11" s="26" t="s">
        <v>316</v>
      </c>
      <c r="AJ11" s="26"/>
      <c r="AK11" s="26" t="s">
        <v>317</v>
      </c>
      <c r="AL11" s="27" t="s">
        <v>314</v>
      </c>
    </row>
    <row r="12" spans="1:38" ht="160" x14ac:dyDescent="0.2">
      <c r="A12" s="16" t="s">
        <v>13</v>
      </c>
      <c r="B12" s="23">
        <v>6</v>
      </c>
      <c r="C12" s="22"/>
      <c r="D12" s="23">
        <v>7</v>
      </c>
      <c r="E12" s="22"/>
      <c r="F12" s="23">
        <v>5</v>
      </c>
      <c r="G12" s="22"/>
      <c r="H12" s="23">
        <v>5</v>
      </c>
      <c r="I12" s="22"/>
      <c r="J12" s="23">
        <v>5</v>
      </c>
      <c r="K12" s="22"/>
      <c r="L12" s="23">
        <v>6</v>
      </c>
      <c r="M12" s="23">
        <v>5</v>
      </c>
      <c r="N12" s="23">
        <v>6</v>
      </c>
      <c r="O12" s="23">
        <v>6</v>
      </c>
      <c r="P12" s="23">
        <v>5</v>
      </c>
      <c r="Q12" s="23">
        <v>5</v>
      </c>
      <c r="R12" s="21" t="s">
        <v>100</v>
      </c>
      <c r="S12" s="21" t="s">
        <v>101</v>
      </c>
      <c r="T12" s="21" t="s">
        <v>171</v>
      </c>
      <c r="U12" s="21" t="s">
        <v>170</v>
      </c>
      <c r="V12" s="21"/>
      <c r="W12" s="21"/>
      <c r="X12" s="21"/>
      <c r="Y12" s="21"/>
      <c r="Z12" s="21"/>
      <c r="AA12" s="21"/>
      <c r="AB12" s="21">
        <f t="shared" si="2"/>
        <v>4</v>
      </c>
      <c r="AC12" s="17">
        <f t="shared" si="0"/>
        <v>5.6</v>
      </c>
      <c r="AD12" s="17">
        <f t="shared" si="1"/>
        <v>0</v>
      </c>
      <c r="AE12" s="17">
        <f t="shared" si="3"/>
        <v>5.5</v>
      </c>
      <c r="AF12" s="17">
        <v>10</v>
      </c>
      <c r="AG12" s="17" t="s">
        <v>3</v>
      </c>
      <c r="AH12" s="6" t="s">
        <v>403</v>
      </c>
      <c r="AI12" s="26"/>
      <c r="AJ12" s="26"/>
      <c r="AK12" s="26"/>
      <c r="AL12" s="27"/>
    </row>
    <row r="13" spans="1:38" ht="128" x14ac:dyDescent="0.2">
      <c r="A13" s="16" t="s">
        <v>50</v>
      </c>
      <c r="B13" s="18">
        <v>6</v>
      </c>
      <c r="C13" s="19">
        <v>6</v>
      </c>
      <c r="D13" s="18">
        <v>7</v>
      </c>
      <c r="E13" s="19">
        <v>6</v>
      </c>
      <c r="F13" s="18">
        <v>5</v>
      </c>
      <c r="G13" s="19">
        <v>6</v>
      </c>
      <c r="H13" s="18">
        <v>6</v>
      </c>
      <c r="I13" s="19">
        <v>6</v>
      </c>
      <c r="J13" s="18">
        <v>5</v>
      </c>
      <c r="K13" s="19">
        <v>6</v>
      </c>
      <c r="L13" s="20">
        <v>4</v>
      </c>
      <c r="M13" s="20">
        <v>5</v>
      </c>
      <c r="N13" s="20">
        <v>6</v>
      </c>
      <c r="O13" s="20">
        <v>4</v>
      </c>
      <c r="P13" s="20">
        <v>5</v>
      </c>
      <c r="Q13" s="20">
        <v>5</v>
      </c>
      <c r="R13" s="21" t="s">
        <v>128</v>
      </c>
      <c r="S13" s="21" t="s">
        <v>154</v>
      </c>
      <c r="T13" s="21" t="s">
        <v>155</v>
      </c>
      <c r="U13" s="21" t="s">
        <v>221</v>
      </c>
      <c r="V13" s="21" t="s">
        <v>220</v>
      </c>
      <c r="W13" s="21" t="s">
        <v>222</v>
      </c>
      <c r="X13" s="21" t="s">
        <v>223</v>
      </c>
      <c r="Y13" s="21" t="s">
        <v>224</v>
      </c>
      <c r="Z13" s="21" t="s">
        <v>225</v>
      </c>
      <c r="AA13" s="21" t="s">
        <v>226</v>
      </c>
      <c r="AB13" s="21">
        <f t="shared" si="2"/>
        <v>10</v>
      </c>
      <c r="AC13" s="17">
        <f t="shared" si="0"/>
        <v>5.8</v>
      </c>
      <c r="AD13" s="17">
        <f t="shared" si="1"/>
        <v>6</v>
      </c>
      <c r="AE13" s="17">
        <f t="shared" si="3"/>
        <v>4.83</v>
      </c>
      <c r="AF13" s="17">
        <v>11</v>
      </c>
      <c r="AG13" s="17" t="s">
        <v>3</v>
      </c>
      <c r="AH13" s="6" t="s">
        <v>315</v>
      </c>
      <c r="AI13" s="26" t="s">
        <v>352</v>
      </c>
      <c r="AJ13" s="26" t="s">
        <v>353</v>
      </c>
      <c r="AK13" s="26" t="s">
        <v>354</v>
      </c>
      <c r="AL13" s="27" t="s">
        <v>314</v>
      </c>
    </row>
    <row r="14" spans="1:38" ht="80" customHeight="1" x14ac:dyDescent="0.2">
      <c r="A14" s="16" t="s">
        <v>15</v>
      </c>
      <c r="B14" s="18">
        <v>5</v>
      </c>
      <c r="C14" s="19">
        <v>6</v>
      </c>
      <c r="D14" s="18">
        <v>6</v>
      </c>
      <c r="E14" s="19">
        <v>5</v>
      </c>
      <c r="F14" s="18">
        <v>6</v>
      </c>
      <c r="G14" s="19">
        <v>5</v>
      </c>
      <c r="H14" s="18">
        <v>5</v>
      </c>
      <c r="I14" s="19">
        <v>5</v>
      </c>
      <c r="J14" s="18">
        <v>7</v>
      </c>
      <c r="K14" s="19">
        <v>7</v>
      </c>
      <c r="L14" s="20">
        <v>5</v>
      </c>
      <c r="M14" s="20">
        <v>4</v>
      </c>
      <c r="N14" s="20">
        <v>4</v>
      </c>
      <c r="O14" s="20">
        <v>4</v>
      </c>
      <c r="P14" s="20">
        <v>5</v>
      </c>
      <c r="Q14" s="20">
        <v>4</v>
      </c>
      <c r="R14" s="21" t="s">
        <v>134</v>
      </c>
      <c r="S14" s="21" t="s">
        <v>138</v>
      </c>
      <c r="T14" s="21"/>
      <c r="U14" s="21" t="s">
        <v>227</v>
      </c>
      <c r="V14" s="21"/>
      <c r="W14" s="21"/>
      <c r="X14" s="21"/>
      <c r="Y14" s="21" t="s">
        <v>228</v>
      </c>
      <c r="Z14" s="21" t="s">
        <v>229</v>
      </c>
      <c r="AA14" s="21" t="s">
        <v>544</v>
      </c>
      <c r="AB14" s="21">
        <f t="shared" si="2"/>
        <v>6</v>
      </c>
      <c r="AC14" s="17">
        <f t="shared" si="0"/>
        <v>5.8</v>
      </c>
      <c r="AD14" s="17">
        <f t="shared" si="1"/>
        <v>5.6</v>
      </c>
      <c r="AE14" s="17">
        <f t="shared" si="3"/>
        <v>4.33</v>
      </c>
      <c r="AF14" s="17">
        <v>12</v>
      </c>
      <c r="AG14" s="17" t="s">
        <v>3</v>
      </c>
      <c r="AH14" s="6" t="s">
        <v>315</v>
      </c>
      <c r="AI14" s="26" t="s">
        <v>311</v>
      </c>
      <c r="AJ14" s="26" t="s">
        <v>312</v>
      </c>
      <c r="AK14" s="26" t="s">
        <v>313</v>
      </c>
      <c r="AL14" s="27" t="s">
        <v>314</v>
      </c>
    </row>
    <row r="15" spans="1:38" ht="176" x14ac:dyDescent="0.2">
      <c r="A15" s="16" t="s">
        <v>16</v>
      </c>
      <c r="B15" s="18">
        <v>6</v>
      </c>
      <c r="C15" s="19">
        <v>7</v>
      </c>
      <c r="D15" s="18">
        <v>7</v>
      </c>
      <c r="E15" s="19">
        <v>6</v>
      </c>
      <c r="F15" s="18">
        <v>6</v>
      </c>
      <c r="G15" s="19">
        <v>7</v>
      </c>
      <c r="H15" s="18">
        <v>6</v>
      </c>
      <c r="I15" s="19">
        <v>6</v>
      </c>
      <c r="J15" s="18">
        <v>5</v>
      </c>
      <c r="K15" s="19">
        <v>6</v>
      </c>
      <c r="L15" s="20">
        <v>5</v>
      </c>
      <c r="M15" s="20">
        <v>6</v>
      </c>
      <c r="N15" s="20">
        <v>6</v>
      </c>
      <c r="O15" s="20">
        <v>6</v>
      </c>
      <c r="P15" s="20">
        <v>5</v>
      </c>
      <c r="Q15" s="20">
        <v>7</v>
      </c>
      <c r="R15" s="21" t="s">
        <v>135</v>
      </c>
      <c r="S15" s="21" t="s">
        <v>149</v>
      </c>
      <c r="T15" s="21" t="s">
        <v>175</v>
      </c>
      <c r="U15" s="21"/>
      <c r="V15" s="21" t="s">
        <v>230</v>
      </c>
      <c r="W15" s="21" t="s">
        <v>231</v>
      </c>
      <c r="X15" s="21" t="s">
        <v>232</v>
      </c>
      <c r="Y15" s="21"/>
      <c r="Z15" s="21"/>
      <c r="AA15" s="21"/>
      <c r="AB15" s="21">
        <f t="shared" si="2"/>
        <v>6</v>
      </c>
      <c r="AC15" s="17">
        <f t="shared" si="0"/>
        <v>6</v>
      </c>
      <c r="AD15" s="17">
        <f t="shared" si="1"/>
        <v>6.4</v>
      </c>
      <c r="AE15" s="17">
        <f t="shared" si="3"/>
        <v>5.83</v>
      </c>
      <c r="AF15" s="17">
        <v>13</v>
      </c>
      <c r="AG15" s="17" t="s">
        <v>3</v>
      </c>
      <c r="AH15" s="6" t="s">
        <v>315</v>
      </c>
      <c r="AI15" s="26" t="s">
        <v>393</v>
      </c>
      <c r="AJ15" s="26" t="s">
        <v>394</v>
      </c>
      <c r="AK15" s="26" t="s">
        <v>395</v>
      </c>
      <c r="AL15" s="27" t="s">
        <v>314</v>
      </c>
    </row>
    <row r="16" spans="1:38" ht="208" x14ac:dyDescent="0.2">
      <c r="A16" s="16" t="s">
        <v>53</v>
      </c>
      <c r="B16" s="18">
        <v>6</v>
      </c>
      <c r="C16" s="19">
        <v>6</v>
      </c>
      <c r="D16" s="18">
        <v>6</v>
      </c>
      <c r="E16" s="19">
        <v>7</v>
      </c>
      <c r="F16" s="18">
        <v>7</v>
      </c>
      <c r="G16" s="19">
        <v>6</v>
      </c>
      <c r="H16" s="18">
        <v>6</v>
      </c>
      <c r="I16" s="19">
        <v>6</v>
      </c>
      <c r="J16" s="18">
        <v>6</v>
      </c>
      <c r="K16" s="19">
        <v>5</v>
      </c>
      <c r="L16" s="20">
        <v>2</v>
      </c>
      <c r="M16" s="20">
        <v>2</v>
      </c>
      <c r="N16" s="20">
        <v>3</v>
      </c>
      <c r="O16" s="20">
        <v>2</v>
      </c>
      <c r="P16" s="20">
        <v>3</v>
      </c>
      <c r="Q16" s="20">
        <v>2</v>
      </c>
      <c r="R16" s="21" t="s">
        <v>133</v>
      </c>
      <c r="S16" s="21" t="s">
        <v>141</v>
      </c>
      <c r="T16" s="21" t="s">
        <v>168</v>
      </c>
      <c r="U16" s="21" t="s">
        <v>169</v>
      </c>
      <c r="V16" s="21" t="s">
        <v>233</v>
      </c>
      <c r="W16" s="21" t="s">
        <v>234</v>
      </c>
      <c r="X16" s="21"/>
      <c r="Y16" s="21" t="s">
        <v>237</v>
      </c>
      <c r="Z16" s="21" t="s">
        <v>236</v>
      </c>
      <c r="AA16" s="21" t="s">
        <v>235</v>
      </c>
      <c r="AB16" s="21">
        <f t="shared" si="2"/>
        <v>9</v>
      </c>
      <c r="AC16" s="17">
        <f t="shared" si="0"/>
        <v>6.2</v>
      </c>
      <c r="AD16" s="17">
        <f t="shared" si="1"/>
        <v>6</v>
      </c>
      <c r="AE16" s="17">
        <f t="shared" si="3"/>
        <v>2.33</v>
      </c>
      <c r="AF16" s="17">
        <v>14</v>
      </c>
      <c r="AG16" s="17" t="s">
        <v>3</v>
      </c>
      <c r="AH16" s="6" t="s">
        <v>315</v>
      </c>
      <c r="AI16" s="26" t="s">
        <v>328</v>
      </c>
      <c r="AJ16" s="26" t="s">
        <v>329</v>
      </c>
      <c r="AK16" s="26" t="s">
        <v>330</v>
      </c>
      <c r="AL16" s="27" t="s">
        <v>314</v>
      </c>
    </row>
    <row r="17" spans="1:38" ht="144" x14ac:dyDescent="0.2">
      <c r="A17" s="16" t="s">
        <v>18</v>
      </c>
      <c r="B17" s="18">
        <v>6</v>
      </c>
      <c r="C17" s="19">
        <v>6</v>
      </c>
      <c r="D17" s="18">
        <v>4</v>
      </c>
      <c r="E17" s="19">
        <v>6</v>
      </c>
      <c r="F17" s="18">
        <v>7</v>
      </c>
      <c r="G17" s="19">
        <v>6</v>
      </c>
      <c r="H17" s="18">
        <v>7</v>
      </c>
      <c r="I17" s="19">
        <v>6</v>
      </c>
      <c r="J17" s="18">
        <v>7</v>
      </c>
      <c r="K17" s="19">
        <v>6</v>
      </c>
      <c r="L17" s="20">
        <v>3</v>
      </c>
      <c r="M17" s="20">
        <v>3</v>
      </c>
      <c r="N17" s="20">
        <v>7</v>
      </c>
      <c r="O17" s="20">
        <v>3</v>
      </c>
      <c r="P17" s="20">
        <v>3</v>
      </c>
      <c r="Q17" s="20">
        <v>3</v>
      </c>
      <c r="R17" s="21" t="s">
        <v>121</v>
      </c>
      <c r="S17" s="21" t="s">
        <v>122</v>
      </c>
      <c r="T17" s="21" t="s">
        <v>159</v>
      </c>
      <c r="U17" s="21" t="s">
        <v>164</v>
      </c>
      <c r="V17" s="21" t="s">
        <v>545</v>
      </c>
      <c r="W17" s="21" t="s">
        <v>238</v>
      </c>
      <c r="X17" s="21" t="s">
        <v>239</v>
      </c>
      <c r="Y17" s="21" t="s">
        <v>240</v>
      </c>
      <c r="Z17" s="21"/>
      <c r="AA17" s="21"/>
      <c r="AB17" s="21">
        <f t="shared" si="2"/>
        <v>8</v>
      </c>
      <c r="AC17" s="17">
        <f t="shared" si="0"/>
        <v>6.2</v>
      </c>
      <c r="AD17" s="17">
        <f t="shared" si="1"/>
        <v>6</v>
      </c>
      <c r="AE17" s="17">
        <f t="shared" si="3"/>
        <v>3.67</v>
      </c>
      <c r="AF17" s="17">
        <v>15</v>
      </c>
      <c r="AG17" s="17" t="s">
        <v>3</v>
      </c>
      <c r="AH17" s="6" t="s">
        <v>315</v>
      </c>
      <c r="AI17" s="26" t="s">
        <v>386</v>
      </c>
      <c r="AJ17" s="26" t="s">
        <v>387</v>
      </c>
      <c r="AK17" s="26" t="s">
        <v>388</v>
      </c>
      <c r="AL17" s="27" t="s">
        <v>314</v>
      </c>
    </row>
    <row r="18" spans="1:38" ht="112" x14ac:dyDescent="0.2">
      <c r="A18" s="16" t="s">
        <v>19</v>
      </c>
      <c r="B18" s="18">
        <v>7</v>
      </c>
      <c r="C18" s="19">
        <v>7</v>
      </c>
      <c r="D18" s="18">
        <v>6</v>
      </c>
      <c r="E18" s="19">
        <v>6</v>
      </c>
      <c r="F18" s="18">
        <v>7</v>
      </c>
      <c r="G18" s="19">
        <v>7</v>
      </c>
      <c r="H18" s="18">
        <v>6</v>
      </c>
      <c r="I18" s="19">
        <v>6</v>
      </c>
      <c r="J18" s="18">
        <v>5</v>
      </c>
      <c r="K18" s="19">
        <v>6</v>
      </c>
      <c r="L18" s="20">
        <v>4</v>
      </c>
      <c r="M18" s="20">
        <v>3</v>
      </c>
      <c r="N18" s="20">
        <v>4</v>
      </c>
      <c r="O18" s="20">
        <v>3</v>
      </c>
      <c r="P18" s="20">
        <v>5</v>
      </c>
      <c r="Q18" s="20">
        <v>5</v>
      </c>
      <c r="R18" s="21" t="s">
        <v>130</v>
      </c>
      <c r="S18" s="21" t="s">
        <v>143</v>
      </c>
      <c r="T18" s="21" t="s">
        <v>177</v>
      </c>
      <c r="U18" s="21" t="s">
        <v>176</v>
      </c>
      <c r="V18" s="21" t="s">
        <v>241</v>
      </c>
      <c r="W18" s="21" t="s">
        <v>242</v>
      </c>
      <c r="X18" s="21" t="s">
        <v>243</v>
      </c>
      <c r="Y18" s="21" t="s">
        <v>245</v>
      </c>
      <c r="Z18" s="21" t="s">
        <v>244</v>
      </c>
      <c r="AA18" s="21" t="s">
        <v>246</v>
      </c>
      <c r="AB18" s="21">
        <f t="shared" si="2"/>
        <v>10</v>
      </c>
      <c r="AC18" s="17">
        <f t="shared" si="0"/>
        <v>6.2</v>
      </c>
      <c r="AD18" s="17">
        <f t="shared" si="1"/>
        <v>6.4</v>
      </c>
      <c r="AE18" s="17">
        <f t="shared" si="3"/>
        <v>4</v>
      </c>
      <c r="AF18" s="17">
        <v>16</v>
      </c>
      <c r="AG18" s="17" t="s">
        <v>3</v>
      </c>
      <c r="AH18" s="6" t="s">
        <v>315</v>
      </c>
      <c r="AI18" s="26" t="s">
        <v>334</v>
      </c>
      <c r="AJ18" s="26" t="s">
        <v>335</v>
      </c>
      <c r="AK18" s="26" t="s">
        <v>336</v>
      </c>
      <c r="AL18" s="27" t="s">
        <v>314</v>
      </c>
    </row>
    <row r="19" spans="1:38" ht="48" customHeight="1" x14ac:dyDescent="0.2">
      <c r="A19" s="16" t="s">
        <v>20</v>
      </c>
      <c r="B19" s="18">
        <v>7</v>
      </c>
      <c r="C19" s="19">
        <v>6</v>
      </c>
      <c r="D19" s="18">
        <v>7</v>
      </c>
      <c r="E19" s="19">
        <v>6</v>
      </c>
      <c r="F19" s="18">
        <v>7</v>
      </c>
      <c r="G19" s="19">
        <v>6</v>
      </c>
      <c r="H19" s="18">
        <v>6</v>
      </c>
      <c r="I19" s="19">
        <v>6</v>
      </c>
      <c r="J19" s="18">
        <v>5</v>
      </c>
      <c r="K19" s="19">
        <v>4</v>
      </c>
      <c r="L19" s="20">
        <v>6</v>
      </c>
      <c r="M19" s="20">
        <v>6</v>
      </c>
      <c r="N19" s="20">
        <v>6</v>
      </c>
      <c r="O19" s="20">
        <v>3</v>
      </c>
      <c r="P19" s="20">
        <v>5</v>
      </c>
      <c r="Q19" s="20">
        <v>5</v>
      </c>
      <c r="R19" s="21" t="s">
        <v>124</v>
      </c>
      <c r="S19" s="21" t="s">
        <v>125</v>
      </c>
      <c r="T19" s="21" t="s">
        <v>156</v>
      </c>
      <c r="U19" s="21" t="s">
        <v>163</v>
      </c>
      <c r="V19" s="21" t="s">
        <v>247</v>
      </c>
      <c r="W19" s="21" t="s">
        <v>248</v>
      </c>
      <c r="X19" s="21" t="s">
        <v>249</v>
      </c>
      <c r="Y19" s="21" t="s">
        <v>250</v>
      </c>
      <c r="Z19" s="21" t="s">
        <v>251</v>
      </c>
      <c r="AA19" s="21" t="s">
        <v>252</v>
      </c>
      <c r="AB19" s="21">
        <f t="shared" si="2"/>
        <v>10</v>
      </c>
      <c r="AC19" s="17">
        <f t="shared" si="0"/>
        <v>6.4</v>
      </c>
      <c r="AD19" s="17">
        <f t="shared" si="1"/>
        <v>5.6</v>
      </c>
      <c r="AE19" s="17">
        <f t="shared" si="3"/>
        <v>5.17</v>
      </c>
      <c r="AF19" s="17">
        <v>17</v>
      </c>
      <c r="AG19" s="17" t="s">
        <v>3</v>
      </c>
      <c r="AH19" s="6" t="s">
        <v>315</v>
      </c>
      <c r="AI19" s="26" t="s">
        <v>331</v>
      </c>
      <c r="AJ19" s="26" t="s">
        <v>332</v>
      </c>
      <c r="AK19" s="26" t="s">
        <v>333</v>
      </c>
      <c r="AL19" s="27" t="s">
        <v>314</v>
      </c>
    </row>
    <row r="20" spans="1:38" ht="128" x14ac:dyDescent="0.2">
      <c r="A20" s="16" t="s">
        <v>57</v>
      </c>
      <c r="B20" s="18">
        <v>7</v>
      </c>
      <c r="C20" s="19">
        <v>7</v>
      </c>
      <c r="D20" s="18">
        <v>6</v>
      </c>
      <c r="E20" s="19">
        <v>7</v>
      </c>
      <c r="F20" s="18">
        <v>7</v>
      </c>
      <c r="G20" s="19">
        <v>7</v>
      </c>
      <c r="H20" s="18">
        <v>6</v>
      </c>
      <c r="I20" s="19">
        <v>6</v>
      </c>
      <c r="J20" s="18">
        <v>6</v>
      </c>
      <c r="K20" s="19">
        <v>6</v>
      </c>
      <c r="L20" s="20">
        <v>4</v>
      </c>
      <c r="M20" s="20">
        <v>4</v>
      </c>
      <c r="N20" s="20">
        <v>4</v>
      </c>
      <c r="O20" s="20">
        <v>7</v>
      </c>
      <c r="P20" s="20">
        <v>4</v>
      </c>
      <c r="Q20" s="20">
        <v>4</v>
      </c>
      <c r="R20" s="21" t="s">
        <v>105</v>
      </c>
      <c r="S20" s="21" t="s">
        <v>106</v>
      </c>
      <c r="T20" s="21"/>
      <c r="U20" s="21"/>
      <c r="V20" s="21" t="s">
        <v>253</v>
      </c>
      <c r="W20" s="21"/>
      <c r="X20" s="21"/>
      <c r="Y20" s="21"/>
      <c r="Z20" s="21" t="s">
        <v>254</v>
      </c>
      <c r="AA20" s="21"/>
      <c r="AB20" s="21">
        <f t="shared" si="2"/>
        <v>4</v>
      </c>
      <c r="AC20" s="17">
        <f t="shared" si="0"/>
        <v>6.4</v>
      </c>
      <c r="AD20" s="17">
        <f t="shared" si="1"/>
        <v>6.6</v>
      </c>
      <c r="AE20" s="17">
        <f t="shared" si="3"/>
        <v>4.5</v>
      </c>
      <c r="AF20" s="17">
        <v>18</v>
      </c>
      <c r="AG20" s="17" t="s">
        <v>3</v>
      </c>
      <c r="AH20" s="6" t="s">
        <v>315</v>
      </c>
      <c r="AI20" s="26" t="s">
        <v>367</v>
      </c>
      <c r="AJ20" s="26" t="s">
        <v>368</v>
      </c>
      <c r="AK20" s="26" t="s">
        <v>369</v>
      </c>
      <c r="AL20" s="27" t="s">
        <v>370</v>
      </c>
    </row>
    <row r="21" spans="1:38" ht="192" x14ac:dyDescent="0.2">
      <c r="A21" s="16" t="s">
        <v>22</v>
      </c>
      <c r="B21" s="18">
        <v>7</v>
      </c>
      <c r="C21" s="19">
        <v>7</v>
      </c>
      <c r="D21" s="18">
        <v>7</v>
      </c>
      <c r="E21" s="19">
        <v>7</v>
      </c>
      <c r="F21" s="18">
        <v>6</v>
      </c>
      <c r="G21" s="19">
        <v>6</v>
      </c>
      <c r="H21" s="18">
        <v>6</v>
      </c>
      <c r="I21" s="19">
        <v>6</v>
      </c>
      <c r="J21" s="18">
        <v>6</v>
      </c>
      <c r="K21" s="19">
        <v>7</v>
      </c>
      <c r="L21" s="20">
        <v>6</v>
      </c>
      <c r="M21" s="20">
        <v>7</v>
      </c>
      <c r="N21" s="20">
        <v>4</v>
      </c>
      <c r="O21" s="20">
        <v>3</v>
      </c>
      <c r="P21" s="20">
        <v>7</v>
      </c>
      <c r="Q21" s="20">
        <v>6</v>
      </c>
      <c r="R21" s="21" t="s">
        <v>145</v>
      </c>
      <c r="S21" s="21" t="s">
        <v>146</v>
      </c>
      <c r="T21" s="21" t="s">
        <v>174</v>
      </c>
      <c r="U21" s="21" t="s">
        <v>546</v>
      </c>
      <c r="V21" s="21" t="s">
        <v>255</v>
      </c>
      <c r="W21" s="21" t="s">
        <v>256</v>
      </c>
      <c r="X21" s="21" t="s">
        <v>257</v>
      </c>
      <c r="Y21" s="21" t="s">
        <v>258</v>
      </c>
      <c r="Z21" s="21" t="s">
        <v>259</v>
      </c>
      <c r="AA21" s="21" t="s">
        <v>260</v>
      </c>
      <c r="AB21" s="21">
        <f t="shared" si="2"/>
        <v>10</v>
      </c>
      <c r="AC21" s="17">
        <f t="shared" si="0"/>
        <v>6.4</v>
      </c>
      <c r="AD21" s="17">
        <f t="shared" si="1"/>
        <v>6.6</v>
      </c>
      <c r="AE21" s="17">
        <f t="shared" si="3"/>
        <v>5.5</v>
      </c>
      <c r="AF21" s="17">
        <v>19</v>
      </c>
      <c r="AG21" s="17" t="s">
        <v>3</v>
      </c>
      <c r="AH21" s="6" t="s">
        <v>315</v>
      </c>
      <c r="AI21" s="26" t="s">
        <v>337</v>
      </c>
      <c r="AJ21" s="26" t="s">
        <v>338</v>
      </c>
      <c r="AK21" s="26" t="s">
        <v>339</v>
      </c>
      <c r="AL21" s="27" t="s">
        <v>314</v>
      </c>
    </row>
    <row r="22" spans="1:38" ht="16" x14ac:dyDescent="0.2">
      <c r="A22" s="16" t="s">
        <v>59</v>
      </c>
      <c r="B22" s="23">
        <v>7</v>
      </c>
      <c r="C22" s="22"/>
      <c r="D22" s="23">
        <v>7</v>
      </c>
      <c r="E22" s="22"/>
      <c r="F22" s="23">
        <v>7</v>
      </c>
      <c r="G22" s="22"/>
      <c r="H22" s="23">
        <v>7</v>
      </c>
      <c r="I22" s="22"/>
      <c r="J22" s="23">
        <v>5</v>
      </c>
      <c r="K22" s="22"/>
      <c r="L22" s="23">
        <v>3</v>
      </c>
      <c r="M22" s="23">
        <v>5</v>
      </c>
      <c r="N22" s="23">
        <v>7</v>
      </c>
      <c r="O22" s="23">
        <v>4</v>
      </c>
      <c r="P22" s="23">
        <v>5</v>
      </c>
      <c r="Q22" s="23">
        <v>4</v>
      </c>
      <c r="R22" s="21"/>
      <c r="S22" s="21"/>
      <c r="T22" s="21"/>
      <c r="U22" s="21"/>
      <c r="V22" s="21"/>
      <c r="W22" s="21"/>
      <c r="X22" s="21"/>
      <c r="Y22" s="21"/>
      <c r="Z22" s="21"/>
      <c r="AA22" s="21"/>
      <c r="AB22" s="22">
        <f t="shared" si="2"/>
        <v>0</v>
      </c>
      <c r="AC22" s="22">
        <f t="shared" si="0"/>
        <v>6.6</v>
      </c>
      <c r="AD22" s="22">
        <f t="shared" si="1"/>
        <v>0</v>
      </c>
      <c r="AE22" s="22">
        <f t="shared" si="3"/>
        <v>4.67</v>
      </c>
      <c r="AF22" s="22">
        <v>20</v>
      </c>
      <c r="AG22" s="22" t="s">
        <v>3</v>
      </c>
      <c r="AH22" s="7" t="s">
        <v>261</v>
      </c>
      <c r="AI22" s="28"/>
      <c r="AJ22" s="28"/>
      <c r="AK22" s="28"/>
      <c r="AL22" s="29"/>
    </row>
    <row r="23" spans="1:38" ht="192" x14ac:dyDescent="0.2">
      <c r="A23" s="16" t="s">
        <v>60</v>
      </c>
      <c r="B23" s="18">
        <v>7</v>
      </c>
      <c r="C23" s="19">
        <v>6</v>
      </c>
      <c r="D23" s="18">
        <v>7</v>
      </c>
      <c r="E23" s="19">
        <v>7</v>
      </c>
      <c r="F23" s="18">
        <v>7</v>
      </c>
      <c r="G23" s="19">
        <v>7</v>
      </c>
      <c r="H23" s="18">
        <v>7</v>
      </c>
      <c r="I23" s="19">
        <v>6</v>
      </c>
      <c r="J23" s="18">
        <v>5</v>
      </c>
      <c r="K23" s="19">
        <v>5</v>
      </c>
      <c r="L23" s="20">
        <v>4</v>
      </c>
      <c r="M23" s="20">
        <v>6</v>
      </c>
      <c r="N23" s="20">
        <v>6</v>
      </c>
      <c r="O23" s="20">
        <v>2</v>
      </c>
      <c r="P23" s="20">
        <v>6</v>
      </c>
      <c r="Q23" s="20">
        <v>7</v>
      </c>
      <c r="R23" s="21" t="s">
        <v>97</v>
      </c>
      <c r="S23" s="21" t="s">
        <v>98</v>
      </c>
      <c r="T23" s="21" t="s">
        <v>262</v>
      </c>
      <c r="U23" s="21"/>
      <c r="V23" s="21" t="s">
        <v>263</v>
      </c>
      <c r="W23" s="21" t="s">
        <v>264</v>
      </c>
      <c r="X23" s="21" t="s">
        <v>265</v>
      </c>
      <c r="Y23" s="21" t="s">
        <v>266</v>
      </c>
      <c r="Z23" s="21" t="s">
        <v>267</v>
      </c>
      <c r="AA23" s="21" t="s">
        <v>268</v>
      </c>
      <c r="AB23" s="21">
        <f t="shared" si="2"/>
        <v>9</v>
      </c>
      <c r="AC23" s="17">
        <f t="shared" si="0"/>
        <v>6.6</v>
      </c>
      <c r="AD23" s="17">
        <f t="shared" si="1"/>
        <v>6.2</v>
      </c>
      <c r="AE23" s="17">
        <f t="shared" si="3"/>
        <v>5.17</v>
      </c>
      <c r="AF23" s="17">
        <v>21</v>
      </c>
      <c r="AG23" s="17" t="s">
        <v>3</v>
      </c>
      <c r="AH23" s="6" t="s">
        <v>315</v>
      </c>
      <c r="AI23" s="26" t="s">
        <v>355</v>
      </c>
      <c r="AJ23" s="26" t="s">
        <v>356</v>
      </c>
      <c r="AK23" s="26" t="s">
        <v>357</v>
      </c>
      <c r="AL23" s="27" t="s">
        <v>314</v>
      </c>
    </row>
    <row r="24" spans="1:38" ht="128" x14ac:dyDescent="0.2">
      <c r="A24" s="16" t="s">
        <v>25</v>
      </c>
      <c r="B24" s="18">
        <v>7</v>
      </c>
      <c r="C24" s="19">
        <v>6</v>
      </c>
      <c r="D24" s="18">
        <v>6</v>
      </c>
      <c r="E24" s="19">
        <v>6</v>
      </c>
      <c r="F24" s="18">
        <v>7</v>
      </c>
      <c r="G24" s="19">
        <v>7</v>
      </c>
      <c r="H24" s="18">
        <v>6</v>
      </c>
      <c r="I24" s="19">
        <v>6</v>
      </c>
      <c r="J24" s="18">
        <v>7</v>
      </c>
      <c r="K24" s="19">
        <v>6</v>
      </c>
      <c r="L24" s="20">
        <v>5</v>
      </c>
      <c r="M24" s="20">
        <v>6</v>
      </c>
      <c r="N24" s="20">
        <v>7</v>
      </c>
      <c r="O24" s="20">
        <v>6</v>
      </c>
      <c r="P24" s="20">
        <v>5</v>
      </c>
      <c r="Q24" s="20">
        <v>5</v>
      </c>
      <c r="R24" s="21" t="s">
        <v>147</v>
      </c>
      <c r="S24" s="21" t="s">
        <v>148</v>
      </c>
      <c r="T24" s="21" t="s">
        <v>161</v>
      </c>
      <c r="U24" s="21" t="s">
        <v>270</v>
      </c>
      <c r="V24" s="21" t="s">
        <v>269</v>
      </c>
      <c r="W24" s="21" t="s">
        <v>271</v>
      </c>
      <c r="X24" s="21"/>
      <c r="Y24" s="21"/>
      <c r="Z24" s="21"/>
      <c r="AA24" s="21"/>
      <c r="AB24" s="21">
        <f t="shared" si="2"/>
        <v>6</v>
      </c>
      <c r="AC24" s="17">
        <f t="shared" si="0"/>
        <v>6.6</v>
      </c>
      <c r="AD24" s="17">
        <f t="shared" si="1"/>
        <v>6.2</v>
      </c>
      <c r="AE24" s="17">
        <f t="shared" si="3"/>
        <v>5.67</v>
      </c>
      <c r="AF24" s="17">
        <v>22</v>
      </c>
      <c r="AG24" s="17" t="s">
        <v>3</v>
      </c>
      <c r="AH24" s="6" t="s">
        <v>315</v>
      </c>
      <c r="AI24" s="26" t="s">
        <v>347</v>
      </c>
      <c r="AJ24" s="26" t="s">
        <v>348</v>
      </c>
      <c r="AK24" s="26" t="s">
        <v>349</v>
      </c>
      <c r="AL24" s="27" t="s">
        <v>314</v>
      </c>
    </row>
    <row r="25" spans="1:38" ht="48" customHeight="1" x14ac:dyDescent="0.2">
      <c r="A25" s="16" t="s">
        <v>62</v>
      </c>
      <c r="B25" s="23">
        <v>7</v>
      </c>
      <c r="C25" s="22"/>
      <c r="D25" s="23">
        <v>6</v>
      </c>
      <c r="E25" s="22"/>
      <c r="F25" s="23">
        <v>7</v>
      </c>
      <c r="G25" s="22"/>
      <c r="H25" s="23">
        <v>6</v>
      </c>
      <c r="I25" s="22"/>
      <c r="J25" s="23">
        <v>7</v>
      </c>
      <c r="K25" s="22"/>
      <c r="L25" s="23">
        <v>3</v>
      </c>
      <c r="M25" s="23">
        <v>2</v>
      </c>
      <c r="N25" s="23">
        <v>3</v>
      </c>
      <c r="O25" s="23">
        <v>2</v>
      </c>
      <c r="P25" s="23">
        <v>3</v>
      </c>
      <c r="Q25" s="23">
        <v>3</v>
      </c>
      <c r="R25" s="21"/>
      <c r="S25" s="21"/>
      <c r="T25" s="21"/>
      <c r="U25" s="21"/>
      <c r="V25" s="21"/>
      <c r="W25" s="21"/>
      <c r="X25" s="21"/>
      <c r="Y25" s="21"/>
      <c r="Z25" s="21"/>
      <c r="AA25" s="21"/>
      <c r="AB25" s="22">
        <f t="shared" si="2"/>
        <v>0</v>
      </c>
      <c r="AC25" s="22">
        <f t="shared" si="0"/>
        <v>6.6</v>
      </c>
      <c r="AD25" s="22">
        <f t="shared" si="1"/>
        <v>0</v>
      </c>
      <c r="AE25" s="22">
        <f t="shared" si="3"/>
        <v>2.67</v>
      </c>
      <c r="AF25" s="22">
        <v>23</v>
      </c>
      <c r="AG25" s="22" t="s">
        <v>3</v>
      </c>
      <c r="AH25" s="7" t="s">
        <v>261</v>
      </c>
      <c r="AI25" s="28"/>
      <c r="AJ25" s="28"/>
      <c r="AK25" s="28"/>
      <c r="AL25" s="29"/>
    </row>
    <row r="26" spans="1:38" ht="176" x14ac:dyDescent="0.2">
      <c r="A26" s="16" t="s">
        <v>27</v>
      </c>
      <c r="B26" s="18">
        <v>7</v>
      </c>
      <c r="C26" s="19">
        <v>6</v>
      </c>
      <c r="D26" s="18">
        <v>7</v>
      </c>
      <c r="E26" s="19">
        <v>7</v>
      </c>
      <c r="F26" s="18">
        <v>6</v>
      </c>
      <c r="G26" s="19">
        <v>7</v>
      </c>
      <c r="H26" s="18">
        <v>7</v>
      </c>
      <c r="I26" s="19">
        <v>6</v>
      </c>
      <c r="J26" s="18">
        <v>7</v>
      </c>
      <c r="K26" s="19">
        <v>7</v>
      </c>
      <c r="L26" s="20">
        <v>3</v>
      </c>
      <c r="M26" s="20">
        <v>2</v>
      </c>
      <c r="N26" s="20">
        <v>7</v>
      </c>
      <c r="O26" s="20">
        <v>4</v>
      </c>
      <c r="P26" s="20">
        <v>5</v>
      </c>
      <c r="Q26" s="20">
        <v>6</v>
      </c>
      <c r="R26" s="21" t="s">
        <v>123</v>
      </c>
      <c r="S26" s="21" t="s">
        <v>142</v>
      </c>
      <c r="T26" s="21"/>
      <c r="U26" s="21" t="s">
        <v>179</v>
      </c>
      <c r="V26" s="21" t="s">
        <v>180</v>
      </c>
      <c r="W26" s="21" t="s">
        <v>547</v>
      </c>
      <c r="X26" s="21" t="s">
        <v>272</v>
      </c>
      <c r="Y26" s="21" t="s">
        <v>273</v>
      </c>
      <c r="Z26" s="21" t="s">
        <v>274</v>
      </c>
      <c r="AA26" s="21" t="s">
        <v>275</v>
      </c>
      <c r="AB26" s="21">
        <f t="shared" si="2"/>
        <v>9</v>
      </c>
      <c r="AC26" s="17">
        <f t="shared" si="0"/>
        <v>6.8</v>
      </c>
      <c r="AD26" s="17">
        <f t="shared" si="1"/>
        <v>6.6</v>
      </c>
      <c r="AE26" s="17">
        <f t="shared" si="3"/>
        <v>4.5</v>
      </c>
      <c r="AF26" s="17">
        <v>24</v>
      </c>
      <c r="AG26" s="17" t="s">
        <v>3</v>
      </c>
      <c r="AH26" s="6" t="s">
        <v>315</v>
      </c>
      <c r="AI26" s="26" t="s">
        <v>371</v>
      </c>
      <c r="AJ26" s="26" t="s">
        <v>372</v>
      </c>
      <c r="AK26" s="26" t="s">
        <v>373</v>
      </c>
      <c r="AL26" s="27" t="s">
        <v>374</v>
      </c>
    </row>
    <row r="27" spans="1:38" ht="224" x14ac:dyDescent="0.2">
      <c r="A27" s="16" t="s">
        <v>64</v>
      </c>
      <c r="B27" s="18">
        <v>7</v>
      </c>
      <c r="C27" s="19">
        <v>7</v>
      </c>
      <c r="D27" s="18">
        <v>7</v>
      </c>
      <c r="E27" s="19">
        <v>7</v>
      </c>
      <c r="F27" s="18">
        <v>7</v>
      </c>
      <c r="G27" s="19">
        <v>7</v>
      </c>
      <c r="H27" s="18">
        <v>7</v>
      </c>
      <c r="I27" s="19">
        <v>7</v>
      </c>
      <c r="J27" s="18">
        <v>6</v>
      </c>
      <c r="K27" s="19">
        <v>6</v>
      </c>
      <c r="L27" s="20">
        <v>5</v>
      </c>
      <c r="M27" s="20">
        <v>5</v>
      </c>
      <c r="N27" s="20">
        <v>6</v>
      </c>
      <c r="O27" s="20">
        <v>6</v>
      </c>
      <c r="P27" s="20">
        <v>5</v>
      </c>
      <c r="Q27" s="20">
        <v>4</v>
      </c>
      <c r="R27" s="21" t="s">
        <v>112</v>
      </c>
      <c r="S27" s="21" t="s">
        <v>113</v>
      </c>
      <c r="T27" s="21" t="s">
        <v>278</v>
      </c>
      <c r="U27" s="21" t="s">
        <v>276</v>
      </c>
      <c r="V27" s="21" t="s">
        <v>277</v>
      </c>
      <c r="W27" s="21"/>
      <c r="X27" s="21"/>
      <c r="Y27" s="21"/>
      <c r="Z27" s="21"/>
      <c r="AA27" s="21"/>
      <c r="AB27" s="21">
        <f t="shared" si="2"/>
        <v>5</v>
      </c>
      <c r="AC27" s="17">
        <f t="shared" si="0"/>
        <v>6.8</v>
      </c>
      <c r="AD27" s="17">
        <f t="shared" si="1"/>
        <v>6.8</v>
      </c>
      <c r="AE27" s="17">
        <f t="shared" si="3"/>
        <v>5.17</v>
      </c>
      <c r="AF27" s="17">
        <v>25</v>
      </c>
      <c r="AG27" s="17" t="s">
        <v>3</v>
      </c>
      <c r="AH27" s="6" t="s">
        <v>315</v>
      </c>
      <c r="AI27" s="26" t="s">
        <v>396</v>
      </c>
      <c r="AJ27" s="26" t="s">
        <v>397</v>
      </c>
      <c r="AK27" s="26" t="s">
        <v>398</v>
      </c>
      <c r="AL27" s="27" t="s">
        <v>399</v>
      </c>
    </row>
    <row r="28" spans="1:38" ht="128" x14ac:dyDescent="0.2">
      <c r="A28" s="16" t="s">
        <v>65</v>
      </c>
      <c r="B28" s="18">
        <v>7</v>
      </c>
      <c r="C28" s="19">
        <v>7</v>
      </c>
      <c r="D28" s="18">
        <v>7</v>
      </c>
      <c r="E28" s="19">
        <v>7</v>
      </c>
      <c r="F28" s="18">
        <v>7</v>
      </c>
      <c r="G28" s="19">
        <v>7</v>
      </c>
      <c r="H28" s="18">
        <v>6</v>
      </c>
      <c r="I28" s="19">
        <v>7</v>
      </c>
      <c r="J28" s="18">
        <v>7</v>
      </c>
      <c r="K28" s="19">
        <v>7</v>
      </c>
      <c r="L28" s="20">
        <v>4</v>
      </c>
      <c r="M28" s="20">
        <v>3</v>
      </c>
      <c r="N28" s="20">
        <v>6</v>
      </c>
      <c r="O28" s="20">
        <v>4</v>
      </c>
      <c r="P28" s="20">
        <v>5</v>
      </c>
      <c r="Q28" s="20">
        <v>4</v>
      </c>
      <c r="R28" s="21" t="s">
        <v>126</v>
      </c>
      <c r="S28" s="21" t="s">
        <v>127</v>
      </c>
      <c r="T28" s="21"/>
      <c r="U28" s="21" t="s">
        <v>279</v>
      </c>
      <c r="V28" s="21" t="s">
        <v>281</v>
      </c>
      <c r="W28" s="21"/>
      <c r="X28" s="21"/>
      <c r="Y28" s="21"/>
      <c r="Z28" s="21" t="s">
        <v>280</v>
      </c>
      <c r="AA28" s="21"/>
      <c r="AB28" s="21">
        <f t="shared" si="2"/>
        <v>5</v>
      </c>
      <c r="AC28" s="17">
        <f t="shared" si="0"/>
        <v>6.8</v>
      </c>
      <c r="AD28" s="17">
        <f t="shared" si="1"/>
        <v>7</v>
      </c>
      <c r="AE28" s="17">
        <f t="shared" si="3"/>
        <v>4.33</v>
      </c>
      <c r="AF28" s="17">
        <v>26</v>
      </c>
      <c r="AG28" s="17" t="s">
        <v>3</v>
      </c>
      <c r="AH28" s="6" t="s">
        <v>315</v>
      </c>
      <c r="AI28" s="26" t="s">
        <v>364</v>
      </c>
      <c r="AJ28" s="26" t="s">
        <v>365</v>
      </c>
      <c r="AK28" s="26" t="s">
        <v>366</v>
      </c>
      <c r="AL28" s="27" t="s">
        <v>314</v>
      </c>
    </row>
    <row r="29" spans="1:38" ht="128" x14ac:dyDescent="0.2">
      <c r="A29" s="16" t="s">
        <v>30</v>
      </c>
      <c r="B29" s="18">
        <v>7</v>
      </c>
      <c r="C29" s="19">
        <v>7</v>
      </c>
      <c r="D29" s="18">
        <v>7</v>
      </c>
      <c r="E29" s="19">
        <v>7</v>
      </c>
      <c r="F29" s="18">
        <v>6</v>
      </c>
      <c r="G29" s="19">
        <v>7</v>
      </c>
      <c r="H29" s="18">
        <v>7</v>
      </c>
      <c r="I29" s="19">
        <v>7</v>
      </c>
      <c r="J29" s="18">
        <v>7</v>
      </c>
      <c r="K29" s="19">
        <v>7</v>
      </c>
      <c r="L29" s="20">
        <v>2</v>
      </c>
      <c r="M29" s="20">
        <v>2</v>
      </c>
      <c r="N29" s="20">
        <v>2</v>
      </c>
      <c r="O29" s="20">
        <v>2</v>
      </c>
      <c r="P29" s="20">
        <v>2</v>
      </c>
      <c r="Q29" s="20">
        <v>2</v>
      </c>
      <c r="R29" s="21" t="s">
        <v>109</v>
      </c>
      <c r="S29" s="21" t="s">
        <v>110</v>
      </c>
      <c r="T29" s="21" t="s">
        <v>167</v>
      </c>
      <c r="U29" s="21"/>
      <c r="V29" s="21" t="s">
        <v>282</v>
      </c>
      <c r="W29" s="21"/>
      <c r="X29" s="21"/>
      <c r="Y29" s="21"/>
      <c r="Z29" s="21"/>
      <c r="AA29" s="21"/>
      <c r="AB29" s="21">
        <f t="shared" si="2"/>
        <v>4</v>
      </c>
      <c r="AC29" s="17">
        <f t="shared" si="0"/>
        <v>6.8</v>
      </c>
      <c r="AD29" s="17">
        <f t="shared" si="1"/>
        <v>7</v>
      </c>
      <c r="AE29" s="17">
        <f t="shared" si="3"/>
        <v>2</v>
      </c>
      <c r="AF29" s="17">
        <v>27</v>
      </c>
      <c r="AG29" s="17" t="s">
        <v>3</v>
      </c>
      <c r="AH29" s="6" t="s">
        <v>315</v>
      </c>
      <c r="AI29" s="26" t="s">
        <v>383</v>
      </c>
      <c r="AJ29" s="26" t="s">
        <v>384</v>
      </c>
      <c r="AK29" s="26" t="s">
        <v>385</v>
      </c>
      <c r="AL29" s="27" t="s">
        <v>314</v>
      </c>
    </row>
    <row r="30" spans="1:38" ht="96" x14ac:dyDescent="0.2">
      <c r="A30" s="16" t="s">
        <v>31</v>
      </c>
      <c r="B30" s="18">
        <v>7</v>
      </c>
      <c r="C30" s="19">
        <v>7</v>
      </c>
      <c r="D30" s="18">
        <v>7</v>
      </c>
      <c r="E30" s="19">
        <v>7</v>
      </c>
      <c r="F30" s="18">
        <v>7</v>
      </c>
      <c r="G30" s="19">
        <v>7</v>
      </c>
      <c r="H30" s="18">
        <v>7</v>
      </c>
      <c r="I30" s="19">
        <v>7</v>
      </c>
      <c r="J30" s="18">
        <v>7</v>
      </c>
      <c r="K30" s="19">
        <v>7</v>
      </c>
      <c r="L30" s="20">
        <v>7</v>
      </c>
      <c r="M30" s="20">
        <v>6</v>
      </c>
      <c r="N30" s="20">
        <v>5</v>
      </c>
      <c r="O30" s="20">
        <v>7</v>
      </c>
      <c r="P30" s="20">
        <v>7</v>
      </c>
      <c r="Q30" s="20">
        <v>7</v>
      </c>
      <c r="R30" s="21" t="s">
        <v>132</v>
      </c>
      <c r="S30" s="21"/>
      <c r="T30" s="21"/>
      <c r="U30" s="21"/>
      <c r="V30" s="21"/>
      <c r="W30" s="21"/>
      <c r="X30" s="21"/>
      <c r="Y30" s="21"/>
      <c r="Z30" s="21"/>
      <c r="AA30" s="21"/>
      <c r="AB30" s="21">
        <f t="shared" si="2"/>
        <v>1</v>
      </c>
      <c r="AC30" s="17">
        <f t="shared" si="0"/>
        <v>7</v>
      </c>
      <c r="AD30" s="17">
        <f t="shared" si="1"/>
        <v>7</v>
      </c>
      <c r="AE30" s="17">
        <f t="shared" si="3"/>
        <v>6.5</v>
      </c>
      <c r="AF30" s="17">
        <v>28</v>
      </c>
      <c r="AG30" s="17" t="s">
        <v>3</v>
      </c>
      <c r="AH30" s="6" t="s">
        <v>315</v>
      </c>
      <c r="AI30" s="26" t="s">
        <v>400</v>
      </c>
      <c r="AJ30" s="26" t="s">
        <v>401</v>
      </c>
      <c r="AK30" s="26" t="s">
        <v>402</v>
      </c>
      <c r="AL30" s="27" t="s">
        <v>314</v>
      </c>
    </row>
    <row r="31" spans="1:38" ht="64" x14ac:dyDescent="0.2">
      <c r="A31" s="16" t="s">
        <v>32</v>
      </c>
      <c r="B31" s="18">
        <v>7</v>
      </c>
      <c r="C31" s="19"/>
      <c r="D31" s="18">
        <v>7</v>
      </c>
      <c r="E31" s="19"/>
      <c r="F31" s="18">
        <v>7</v>
      </c>
      <c r="G31" s="19"/>
      <c r="H31" s="18">
        <v>7</v>
      </c>
      <c r="I31" s="19"/>
      <c r="J31" s="18">
        <v>7</v>
      </c>
      <c r="K31" s="19"/>
      <c r="L31" s="20">
        <v>1</v>
      </c>
      <c r="M31" s="20">
        <v>2</v>
      </c>
      <c r="N31" s="20">
        <v>2</v>
      </c>
      <c r="O31" s="20">
        <v>3</v>
      </c>
      <c r="P31" s="20">
        <v>5</v>
      </c>
      <c r="Q31" s="20">
        <v>5</v>
      </c>
      <c r="R31" s="21" t="s">
        <v>102</v>
      </c>
      <c r="S31" s="21" t="s">
        <v>103</v>
      </c>
      <c r="T31" s="21"/>
      <c r="U31" s="21"/>
      <c r="V31" s="21"/>
      <c r="W31" s="21"/>
      <c r="X31" s="21"/>
      <c r="Y31" s="21"/>
      <c r="Z31" s="21"/>
      <c r="AA31" s="21"/>
      <c r="AB31" s="21">
        <f t="shared" si="2"/>
        <v>2</v>
      </c>
      <c r="AC31" s="17">
        <f t="shared" si="0"/>
        <v>7</v>
      </c>
      <c r="AD31" s="17">
        <f t="shared" si="1"/>
        <v>0</v>
      </c>
      <c r="AE31" s="17">
        <f t="shared" si="3"/>
        <v>3</v>
      </c>
      <c r="AF31" s="17">
        <v>29</v>
      </c>
      <c r="AG31" s="17" t="s">
        <v>3</v>
      </c>
      <c r="AH31" s="6" t="s">
        <v>404</v>
      </c>
      <c r="AI31" s="26"/>
      <c r="AJ31" s="26"/>
      <c r="AK31" s="26"/>
      <c r="AL31" s="27"/>
    </row>
    <row r="32" spans="1:38" ht="304" x14ac:dyDescent="0.2">
      <c r="A32" s="16" t="s">
        <v>33</v>
      </c>
      <c r="B32" s="18">
        <v>7</v>
      </c>
      <c r="C32" s="19">
        <v>7</v>
      </c>
      <c r="D32" s="18">
        <v>7</v>
      </c>
      <c r="E32" s="19">
        <v>7</v>
      </c>
      <c r="F32" s="18">
        <v>7</v>
      </c>
      <c r="G32" s="19">
        <v>7</v>
      </c>
      <c r="H32" s="18">
        <v>7</v>
      </c>
      <c r="I32" s="19">
        <v>7</v>
      </c>
      <c r="J32" s="18">
        <v>7</v>
      </c>
      <c r="K32" s="19">
        <v>5</v>
      </c>
      <c r="L32" s="20">
        <v>4</v>
      </c>
      <c r="M32" s="20">
        <v>6</v>
      </c>
      <c r="N32" s="20">
        <v>7</v>
      </c>
      <c r="O32" s="20">
        <v>5</v>
      </c>
      <c r="P32" s="20">
        <v>5</v>
      </c>
      <c r="Q32" s="20">
        <v>5</v>
      </c>
      <c r="R32" s="21"/>
      <c r="S32" s="21" t="s">
        <v>99</v>
      </c>
      <c r="T32" s="21" t="s">
        <v>153</v>
      </c>
      <c r="U32" s="21" t="s">
        <v>182</v>
      </c>
      <c r="V32" s="21" t="s">
        <v>284</v>
      </c>
      <c r="W32" s="21" t="s">
        <v>283</v>
      </c>
      <c r="X32" s="21" t="s">
        <v>285</v>
      </c>
      <c r="Y32" s="21" t="s">
        <v>286</v>
      </c>
      <c r="Z32" s="21" t="s">
        <v>287</v>
      </c>
      <c r="AA32" s="21" t="s">
        <v>288</v>
      </c>
      <c r="AB32" s="21">
        <f t="shared" si="2"/>
        <v>9</v>
      </c>
      <c r="AC32" s="17">
        <f t="shared" si="0"/>
        <v>7</v>
      </c>
      <c r="AD32" s="17">
        <f t="shared" si="1"/>
        <v>6.6</v>
      </c>
      <c r="AE32" s="17">
        <f t="shared" si="3"/>
        <v>5.33</v>
      </c>
      <c r="AF32" s="17">
        <v>30</v>
      </c>
      <c r="AG32" s="17" t="s">
        <v>3</v>
      </c>
      <c r="AH32" s="6" t="s">
        <v>315</v>
      </c>
      <c r="AI32" s="26" t="s">
        <v>318</v>
      </c>
      <c r="AJ32" s="26" t="s">
        <v>319</v>
      </c>
      <c r="AK32" s="26" t="s">
        <v>320</v>
      </c>
      <c r="AL32" s="27" t="s">
        <v>321</v>
      </c>
    </row>
    <row r="33" spans="1:38" ht="160" x14ac:dyDescent="0.2">
      <c r="A33" s="16" t="s">
        <v>70</v>
      </c>
      <c r="B33" s="18">
        <v>7</v>
      </c>
      <c r="C33" s="19">
        <v>7</v>
      </c>
      <c r="D33" s="18">
        <v>7</v>
      </c>
      <c r="E33" s="19">
        <v>7</v>
      </c>
      <c r="F33" s="18">
        <v>7</v>
      </c>
      <c r="G33" s="19">
        <v>7</v>
      </c>
      <c r="H33" s="18">
        <v>7</v>
      </c>
      <c r="I33" s="19">
        <v>7</v>
      </c>
      <c r="J33" s="18">
        <v>7</v>
      </c>
      <c r="K33" s="19">
        <v>7</v>
      </c>
      <c r="L33" s="20">
        <v>5</v>
      </c>
      <c r="M33" s="20">
        <v>5</v>
      </c>
      <c r="N33" s="20">
        <v>4</v>
      </c>
      <c r="O33" s="20">
        <v>3</v>
      </c>
      <c r="P33" s="20">
        <v>6</v>
      </c>
      <c r="Q33" s="20">
        <v>7</v>
      </c>
      <c r="R33" s="21" t="s">
        <v>114</v>
      </c>
      <c r="S33" s="21" t="s">
        <v>115</v>
      </c>
      <c r="T33" s="21"/>
      <c r="U33" s="21" t="s">
        <v>172</v>
      </c>
      <c r="V33" s="21" t="s">
        <v>181</v>
      </c>
      <c r="W33" s="21" t="s">
        <v>289</v>
      </c>
      <c r="X33" s="21"/>
      <c r="Y33" s="21" t="s">
        <v>290</v>
      </c>
      <c r="Z33" s="21" t="s">
        <v>291</v>
      </c>
      <c r="AA33" s="21" t="s">
        <v>292</v>
      </c>
      <c r="AB33" s="21">
        <f t="shared" si="2"/>
        <v>8</v>
      </c>
      <c r="AC33" s="17">
        <f t="shared" si="0"/>
        <v>7</v>
      </c>
      <c r="AD33" s="17">
        <f t="shared" si="1"/>
        <v>7</v>
      </c>
      <c r="AE33" s="17">
        <f t="shared" si="3"/>
        <v>5</v>
      </c>
      <c r="AF33" s="17">
        <v>31</v>
      </c>
      <c r="AG33" s="17" t="s">
        <v>3</v>
      </c>
      <c r="AH33" s="6" t="s">
        <v>315</v>
      </c>
      <c r="AI33" s="26" t="s">
        <v>322</v>
      </c>
      <c r="AJ33" s="26" t="s">
        <v>323</v>
      </c>
      <c r="AK33" s="26" t="s">
        <v>324</v>
      </c>
      <c r="AL33" s="27" t="s">
        <v>314</v>
      </c>
    </row>
    <row r="34" spans="1:38" ht="64" customHeight="1" x14ac:dyDescent="0.2">
      <c r="A34" s="16" t="s">
        <v>71</v>
      </c>
      <c r="B34" s="18">
        <v>7</v>
      </c>
      <c r="C34" s="19"/>
      <c r="D34" s="18">
        <v>7</v>
      </c>
      <c r="E34" s="19"/>
      <c r="F34" s="18">
        <v>7</v>
      </c>
      <c r="G34" s="19"/>
      <c r="H34" s="18">
        <v>7</v>
      </c>
      <c r="I34" s="19"/>
      <c r="J34" s="18">
        <v>7</v>
      </c>
      <c r="K34" s="19"/>
      <c r="L34" s="20">
        <v>5</v>
      </c>
      <c r="M34" s="20">
        <v>5</v>
      </c>
      <c r="N34" s="20">
        <v>5</v>
      </c>
      <c r="O34" s="20">
        <v>7</v>
      </c>
      <c r="P34" s="20">
        <v>5</v>
      </c>
      <c r="Q34" s="20">
        <v>5</v>
      </c>
      <c r="R34" s="21" t="s">
        <v>129</v>
      </c>
      <c r="S34" s="21"/>
      <c r="T34" s="21"/>
      <c r="U34" s="21"/>
      <c r="V34" s="21" t="s">
        <v>293</v>
      </c>
      <c r="W34" s="21"/>
      <c r="X34" s="21"/>
      <c r="Y34" s="21"/>
      <c r="Z34" s="21"/>
      <c r="AA34" s="21"/>
      <c r="AB34" s="21">
        <f t="shared" si="2"/>
        <v>2</v>
      </c>
      <c r="AC34" s="17">
        <f t="shared" ref="AC34:AC65" si="4">SUM(B34+D34+F34+H34+J34)/5</f>
        <v>7</v>
      </c>
      <c r="AD34" s="17">
        <f t="shared" ref="AD34:AD65" si="5">SUM(C34+E34+G34+I34+K34)/5</f>
        <v>0</v>
      </c>
      <c r="AE34" s="17">
        <f t="shared" si="3"/>
        <v>5.33</v>
      </c>
      <c r="AF34" s="17">
        <v>32</v>
      </c>
      <c r="AG34" s="17" t="s">
        <v>3</v>
      </c>
      <c r="AH34" s="6" t="s">
        <v>404</v>
      </c>
      <c r="AI34" s="26"/>
      <c r="AJ34" s="26"/>
      <c r="AK34" s="26"/>
      <c r="AL34" s="27"/>
    </row>
    <row r="35" spans="1:38" ht="272" x14ac:dyDescent="0.2">
      <c r="A35" s="16" t="s">
        <v>72</v>
      </c>
      <c r="B35" s="18">
        <v>7</v>
      </c>
      <c r="C35" s="19">
        <v>7</v>
      </c>
      <c r="D35" s="18">
        <v>7</v>
      </c>
      <c r="E35" s="19">
        <v>7</v>
      </c>
      <c r="F35" s="18">
        <v>7</v>
      </c>
      <c r="G35" s="19">
        <v>7</v>
      </c>
      <c r="H35" s="18">
        <v>7</v>
      </c>
      <c r="I35" s="19">
        <v>7</v>
      </c>
      <c r="J35" s="18">
        <v>7</v>
      </c>
      <c r="K35" s="19">
        <v>7</v>
      </c>
      <c r="L35" s="20">
        <v>2</v>
      </c>
      <c r="M35" s="20">
        <v>1</v>
      </c>
      <c r="N35" s="20">
        <v>1</v>
      </c>
      <c r="O35" s="20">
        <v>1</v>
      </c>
      <c r="P35" s="20">
        <v>1</v>
      </c>
      <c r="Q35" s="20">
        <v>1</v>
      </c>
      <c r="R35" s="21"/>
      <c r="S35" s="21" t="s">
        <v>144</v>
      </c>
      <c r="T35" s="21"/>
      <c r="U35" s="21"/>
      <c r="V35" s="21"/>
      <c r="W35" s="21"/>
      <c r="X35" s="21"/>
      <c r="Y35" s="21"/>
      <c r="Z35" s="21"/>
      <c r="AA35" s="21"/>
      <c r="AB35" s="21">
        <f t="shared" si="2"/>
        <v>1</v>
      </c>
      <c r="AC35" s="17">
        <f t="shared" si="4"/>
        <v>7</v>
      </c>
      <c r="AD35" s="17">
        <f t="shared" si="5"/>
        <v>7</v>
      </c>
      <c r="AE35" s="17">
        <f t="shared" si="3"/>
        <v>1.17</v>
      </c>
      <c r="AF35" s="17">
        <v>33</v>
      </c>
      <c r="AG35" s="17" t="s">
        <v>3</v>
      </c>
      <c r="AH35" s="6" t="s">
        <v>315</v>
      </c>
      <c r="AI35" s="26" t="s">
        <v>379</v>
      </c>
      <c r="AJ35" s="26" t="s">
        <v>380</v>
      </c>
      <c r="AK35" s="26" t="s">
        <v>381</v>
      </c>
      <c r="AL35" s="27" t="s">
        <v>382</v>
      </c>
    </row>
    <row r="36" spans="1:38" ht="144" x14ac:dyDescent="0.2">
      <c r="A36" s="16" t="s">
        <v>37</v>
      </c>
      <c r="B36" s="18">
        <v>6</v>
      </c>
      <c r="C36" s="19">
        <v>7</v>
      </c>
      <c r="D36" s="18">
        <v>6</v>
      </c>
      <c r="E36" s="19">
        <v>6</v>
      </c>
      <c r="F36" s="18">
        <v>6</v>
      </c>
      <c r="G36" s="19">
        <v>6</v>
      </c>
      <c r="H36" s="18">
        <v>6</v>
      </c>
      <c r="I36" s="19">
        <v>6</v>
      </c>
      <c r="J36" s="18">
        <v>5</v>
      </c>
      <c r="K36" s="19">
        <v>6</v>
      </c>
      <c r="L36" s="20">
        <v>5</v>
      </c>
      <c r="M36" s="20">
        <v>6</v>
      </c>
      <c r="N36" s="20">
        <v>7</v>
      </c>
      <c r="O36" s="20">
        <v>5</v>
      </c>
      <c r="P36" s="20">
        <v>6</v>
      </c>
      <c r="Q36" s="20">
        <v>6</v>
      </c>
      <c r="R36" s="21" t="s">
        <v>116</v>
      </c>
      <c r="S36" s="21" t="s">
        <v>165</v>
      </c>
      <c r="T36" s="21" t="s">
        <v>166</v>
      </c>
      <c r="U36" s="21"/>
      <c r="V36" s="21" t="s">
        <v>294</v>
      </c>
      <c r="W36" s="21" t="s">
        <v>295</v>
      </c>
      <c r="X36" s="21" t="s">
        <v>298</v>
      </c>
      <c r="Y36" s="21"/>
      <c r="Z36" s="21" t="s">
        <v>297</v>
      </c>
      <c r="AA36" s="21" t="s">
        <v>296</v>
      </c>
      <c r="AB36" s="21">
        <f t="shared" si="2"/>
        <v>8</v>
      </c>
      <c r="AC36" s="17">
        <f t="shared" si="4"/>
        <v>5.8</v>
      </c>
      <c r="AD36" s="17">
        <f t="shared" si="5"/>
        <v>6.2</v>
      </c>
      <c r="AE36" s="17">
        <f t="shared" si="3"/>
        <v>5.83</v>
      </c>
      <c r="AF36" s="17">
        <v>34</v>
      </c>
      <c r="AG36" s="17" t="s">
        <v>3</v>
      </c>
      <c r="AH36" s="6" t="s">
        <v>315</v>
      </c>
      <c r="AI36" s="26" t="s">
        <v>358</v>
      </c>
      <c r="AJ36" s="26" t="s">
        <v>359</v>
      </c>
      <c r="AK36" s="26" t="s">
        <v>360</v>
      </c>
      <c r="AL36" s="27" t="s">
        <v>314</v>
      </c>
    </row>
    <row r="37" spans="1:38" ht="144" x14ac:dyDescent="0.2">
      <c r="A37" s="16" t="s">
        <v>38</v>
      </c>
      <c r="B37" s="18">
        <v>4</v>
      </c>
      <c r="C37" s="19">
        <v>5</v>
      </c>
      <c r="D37" s="18">
        <v>5</v>
      </c>
      <c r="E37" s="19">
        <v>5</v>
      </c>
      <c r="F37" s="18">
        <v>5</v>
      </c>
      <c r="G37" s="19">
        <v>6</v>
      </c>
      <c r="H37" s="18">
        <v>4</v>
      </c>
      <c r="I37" s="19">
        <v>5</v>
      </c>
      <c r="J37" s="18">
        <v>4</v>
      </c>
      <c r="K37" s="19">
        <v>6</v>
      </c>
      <c r="L37" s="20">
        <v>5</v>
      </c>
      <c r="M37" s="20">
        <v>5</v>
      </c>
      <c r="N37" s="20">
        <v>5</v>
      </c>
      <c r="O37" s="20">
        <v>4</v>
      </c>
      <c r="P37" s="20">
        <v>5</v>
      </c>
      <c r="Q37" s="20">
        <v>5</v>
      </c>
      <c r="R37" s="21" t="s">
        <v>475</v>
      </c>
      <c r="S37" s="21" t="s">
        <v>476</v>
      </c>
      <c r="T37" s="21" t="s">
        <v>477</v>
      </c>
      <c r="U37" s="21" t="s">
        <v>478</v>
      </c>
      <c r="V37" s="21" t="s">
        <v>479</v>
      </c>
      <c r="W37" s="21" t="s">
        <v>480</v>
      </c>
      <c r="X37" s="21" t="s">
        <v>481</v>
      </c>
      <c r="Y37" s="21" t="s">
        <v>482</v>
      </c>
      <c r="Z37" s="21" t="s">
        <v>483</v>
      </c>
      <c r="AA37" s="21"/>
      <c r="AB37" s="21">
        <f t="shared" si="2"/>
        <v>9</v>
      </c>
      <c r="AC37" s="17">
        <f t="shared" si="4"/>
        <v>4.4000000000000004</v>
      </c>
      <c r="AD37" s="17">
        <f t="shared" si="5"/>
        <v>5.4</v>
      </c>
      <c r="AE37" s="17">
        <f t="shared" si="3"/>
        <v>4.83</v>
      </c>
      <c r="AF37" s="17">
        <v>0</v>
      </c>
      <c r="AG37" s="17" t="s">
        <v>39</v>
      </c>
      <c r="AH37" s="6" t="s">
        <v>315</v>
      </c>
      <c r="AI37" s="26"/>
      <c r="AJ37" s="26"/>
      <c r="AK37" s="26"/>
      <c r="AL37" s="27"/>
    </row>
    <row r="38" spans="1:38" ht="96" x14ac:dyDescent="0.2">
      <c r="A38" s="16" t="s">
        <v>4</v>
      </c>
      <c r="B38" s="18">
        <v>4</v>
      </c>
      <c r="C38" s="19">
        <v>4</v>
      </c>
      <c r="D38" s="18">
        <v>4</v>
      </c>
      <c r="E38" s="19">
        <v>4</v>
      </c>
      <c r="F38" s="18">
        <v>7</v>
      </c>
      <c r="G38" s="19">
        <v>7</v>
      </c>
      <c r="H38" s="18">
        <v>4</v>
      </c>
      <c r="I38" s="19">
        <v>4</v>
      </c>
      <c r="J38" s="18">
        <v>4</v>
      </c>
      <c r="K38" s="19">
        <v>4</v>
      </c>
      <c r="L38" s="20">
        <v>6</v>
      </c>
      <c r="M38" s="20">
        <v>6</v>
      </c>
      <c r="N38" s="20">
        <v>6</v>
      </c>
      <c r="O38" s="20">
        <v>6</v>
      </c>
      <c r="P38" s="20">
        <v>6</v>
      </c>
      <c r="Q38" s="20">
        <v>6</v>
      </c>
      <c r="R38" s="21" t="s">
        <v>503</v>
      </c>
      <c r="S38" s="21" t="s">
        <v>504</v>
      </c>
      <c r="T38" s="21" t="s">
        <v>505</v>
      </c>
      <c r="U38" s="21"/>
      <c r="V38" s="21" t="s">
        <v>506</v>
      </c>
      <c r="W38" s="21" t="s">
        <v>507</v>
      </c>
      <c r="X38" s="21" t="s">
        <v>508</v>
      </c>
      <c r="Y38" s="21"/>
      <c r="Z38" s="21"/>
      <c r="AA38" s="21"/>
      <c r="AB38" s="21">
        <f t="shared" si="2"/>
        <v>6</v>
      </c>
      <c r="AC38" s="17">
        <f t="shared" si="4"/>
        <v>4.5999999999999996</v>
      </c>
      <c r="AD38" s="17">
        <f t="shared" si="5"/>
        <v>4.5999999999999996</v>
      </c>
      <c r="AE38" s="17">
        <f t="shared" si="3"/>
        <v>6</v>
      </c>
      <c r="AF38" s="17">
        <v>1</v>
      </c>
      <c r="AG38" s="17" t="s">
        <v>39</v>
      </c>
      <c r="AH38" s="6" t="s">
        <v>315</v>
      </c>
      <c r="AI38" s="26"/>
      <c r="AJ38" s="26"/>
      <c r="AK38" s="26"/>
      <c r="AL38" s="27"/>
    </row>
    <row r="39" spans="1:38" ht="16" customHeight="1" x14ac:dyDescent="0.2">
      <c r="A39" s="16" t="s">
        <v>5</v>
      </c>
      <c r="B39" s="18">
        <v>5</v>
      </c>
      <c r="C39" s="19">
        <v>5</v>
      </c>
      <c r="D39" s="18">
        <v>6</v>
      </c>
      <c r="E39" s="19">
        <v>5</v>
      </c>
      <c r="F39" s="18">
        <v>4</v>
      </c>
      <c r="G39" s="19">
        <v>5</v>
      </c>
      <c r="H39" s="18">
        <v>4</v>
      </c>
      <c r="I39" s="19">
        <v>3</v>
      </c>
      <c r="J39" s="18">
        <v>4</v>
      </c>
      <c r="K39" s="19">
        <v>3</v>
      </c>
      <c r="L39" s="20">
        <v>5</v>
      </c>
      <c r="M39" s="20">
        <v>7</v>
      </c>
      <c r="N39" s="20">
        <v>6</v>
      </c>
      <c r="O39" s="20">
        <v>5</v>
      </c>
      <c r="P39" s="20">
        <v>7</v>
      </c>
      <c r="Q39" s="20">
        <v>7</v>
      </c>
      <c r="R39" s="21" t="s">
        <v>513</v>
      </c>
      <c r="S39" s="21" t="s">
        <v>514</v>
      </c>
      <c r="T39" s="21" t="s">
        <v>515</v>
      </c>
      <c r="U39" s="21"/>
      <c r="V39" s="21"/>
      <c r="W39" s="21"/>
      <c r="X39" s="21"/>
      <c r="Y39" s="21"/>
      <c r="Z39" s="21"/>
      <c r="AA39" s="21"/>
      <c r="AB39" s="21">
        <f t="shared" si="2"/>
        <v>3</v>
      </c>
      <c r="AC39" s="17">
        <f t="shared" si="4"/>
        <v>4.5999999999999996</v>
      </c>
      <c r="AD39" s="17">
        <f t="shared" si="5"/>
        <v>4.2</v>
      </c>
      <c r="AE39" s="17">
        <f t="shared" si="3"/>
        <v>6.17</v>
      </c>
      <c r="AF39" s="17">
        <v>2</v>
      </c>
      <c r="AG39" s="17" t="s">
        <v>39</v>
      </c>
      <c r="AH39" s="6" t="s">
        <v>315</v>
      </c>
      <c r="AI39" s="26"/>
      <c r="AJ39" s="26"/>
      <c r="AK39" s="26"/>
      <c r="AL39" s="27"/>
    </row>
    <row r="40" spans="1:38" ht="16" x14ac:dyDescent="0.2">
      <c r="A40" s="16" t="s">
        <v>42</v>
      </c>
      <c r="B40" s="18">
        <v>2</v>
      </c>
      <c r="C40" s="19">
        <v>6</v>
      </c>
      <c r="D40" s="18">
        <v>5</v>
      </c>
      <c r="E40" s="19">
        <v>6</v>
      </c>
      <c r="F40" s="18">
        <v>6</v>
      </c>
      <c r="G40" s="19">
        <v>6</v>
      </c>
      <c r="H40" s="18">
        <v>5</v>
      </c>
      <c r="I40" s="19">
        <v>5</v>
      </c>
      <c r="J40" s="18">
        <v>6</v>
      </c>
      <c r="K40" s="19">
        <v>3</v>
      </c>
      <c r="L40" s="20">
        <v>5</v>
      </c>
      <c r="M40" s="20">
        <v>6</v>
      </c>
      <c r="N40" s="20">
        <v>7</v>
      </c>
      <c r="O40" s="20">
        <v>5</v>
      </c>
      <c r="P40" s="20">
        <v>6</v>
      </c>
      <c r="Q40" s="20">
        <v>6</v>
      </c>
      <c r="R40" s="21"/>
      <c r="S40" s="21"/>
      <c r="T40" s="21"/>
      <c r="U40" s="21"/>
      <c r="V40" s="21"/>
      <c r="W40" s="21"/>
      <c r="X40" s="21"/>
      <c r="Y40" s="21"/>
      <c r="Z40" s="21"/>
      <c r="AA40" s="21"/>
      <c r="AB40" s="21">
        <f t="shared" si="2"/>
        <v>0</v>
      </c>
      <c r="AC40" s="17">
        <f t="shared" si="4"/>
        <v>4.8</v>
      </c>
      <c r="AD40" s="17">
        <f t="shared" si="5"/>
        <v>5.2</v>
      </c>
      <c r="AE40" s="17">
        <f t="shared" si="3"/>
        <v>5.83</v>
      </c>
      <c r="AF40" s="17">
        <v>3</v>
      </c>
      <c r="AG40" s="17" t="s">
        <v>39</v>
      </c>
      <c r="AH40" s="6" t="s">
        <v>315</v>
      </c>
      <c r="AI40" s="26"/>
      <c r="AJ40" s="26"/>
      <c r="AK40" s="26"/>
      <c r="AL40" s="27"/>
    </row>
    <row r="41" spans="1:38" ht="192" x14ac:dyDescent="0.2">
      <c r="A41" s="16" t="s">
        <v>7</v>
      </c>
      <c r="B41" s="18">
        <v>5</v>
      </c>
      <c r="C41" s="19">
        <v>4</v>
      </c>
      <c r="D41" s="18">
        <v>6</v>
      </c>
      <c r="E41" s="19">
        <v>5</v>
      </c>
      <c r="F41" s="18">
        <v>4</v>
      </c>
      <c r="G41" s="19">
        <v>5</v>
      </c>
      <c r="H41" s="18">
        <v>6</v>
      </c>
      <c r="I41" s="19">
        <v>5</v>
      </c>
      <c r="J41" s="18">
        <v>4</v>
      </c>
      <c r="K41" s="19">
        <v>4</v>
      </c>
      <c r="L41" s="20">
        <v>3</v>
      </c>
      <c r="M41" s="20">
        <v>3</v>
      </c>
      <c r="N41" s="20">
        <v>5</v>
      </c>
      <c r="O41" s="20">
        <v>3</v>
      </c>
      <c r="P41" s="20">
        <v>3</v>
      </c>
      <c r="Q41" s="20">
        <v>4</v>
      </c>
      <c r="R41" s="21" t="s">
        <v>548</v>
      </c>
      <c r="S41" s="21" t="s">
        <v>511</v>
      </c>
      <c r="T41" s="21" t="s">
        <v>512</v>
      </c>
      <c r="U41" s="21"/>
      <c r="V41" s="21"/>
      <c r="W41" s="21"/>
      <c r="X41" s="21"/>
      <c r="Y41" s="21"/>
      <c r="Z41" s="21"/>
      <c r="AA41" s="21"/>
      <c r="AB41" s="21">
        <f t="shared" si="2"/>
        <v>3</v>
      </c>
      <c r="AC41" s="17">
        <f t="shared" si="4"/>
        <v>5</v>
      </c>
      <c r="AD41" s="17">
        <f t="shared" si="5"/>
        <v>4.5999999999999996</v>
      </c>
      <c r="AE41" s="17">
        <f t="shared" si="3"/>
        <v>3.5</v>
      </c>
      <c r="AF41" s="17">
        <v>4</v>
      </c>
      <c r="AG41" s="17" t="s">
        <v>39</v>
      </c>
      <c r="AH41" s="6" t="s">
        <v>315</v>
      </c>
      <c r="AI41" s="26"/>
      <c r="AJ41" s="26"/>
      <c r="AK41" s="26"/>
      <c r="AL41" s="27"/>
    </row>
    <row r="42" spans="1:38" ht="208" x14ac:dyDescent="0.2">
      <c r="A42" s="16" t="s">
        <v>44</v>
      </c>
      <c r="B42" s="18">
        <v>5</v>
      </c>
      <c r="C42" s="19">
        <v>5</v>
      </c>
      <c r="D42" s="18">
        <v>5</v>
      </c>
      <c r="E42" s="19">
        <v>5</v>
      </c>
      <c r="F42" s="18">
        <v>5</v>
      </c>
      <c r="G42" s="19">
        <v>5</v>
      </c>
      <c r="H42" s="18">
        <v>5</v>
      </c>
      <c r="I42" s="19">
        <v>5</v>
      </c>
      <c r="J42" s="18">
        <v>5</v>
      </c>
      <c r="K42" s="19">
        <v>5</v>
      </c>
      <c r="L42" s="20">
        <v>3</v>
      </c>
      <c r="M42" s="20">
        <v>4</v>
      </c>
      <c r="N42" s="20">
        <v>4</v>
      </c>
      <c r="O42" s="20">
        <v>4</v>
      </c>
      <c r="P42" s="20">
        <v>4</v>
      </c>
      <c r="Q42" s="20">
        <v>4</v>
      </c>
      <c r="R42" s="21"/>
      <c r="S42" s="21"/>
      <c r="T42" s="21" t="s">
        <v>464</v>
      </c>
      <c r="U42" s="21" t="s">
        <v>465</v>
      </c>
      <c r="V42" s="21"/>
      <c r="W42" s="21" t="s">
        <v>466</v>
      </c>
      <c r="X42" s="21" t="s">
        <v>467</v>
      </c>
      <c r="Y42" s="21" t="s">
        <v>468</v>
      </c>
      <c r="Z42" s="21" t="s">
        <v>469</v>
      </c>
      <c r="AA42" s="21"/>
      <c r="AB42" s="21">
        <f t="shared" si="2"/>
        <v>6</v>
      </c>
      <c r="AC42" s="17">
        <f t="shared" si="4"/>
        <v>5</v>
      </c>
      <c r="AD42" s="17">
        <f t="shared" si="5"/>
        <v>5</v>
      </c>
      <c r="AE42" s="17">
        <f t="shared" si="3"/>
        <v>3.83</v>
      </c>
      <c r="AF42" s="17">
        <v>5</v>
      </c>
      <c r="AG42" s="17" t="s">
        <v>39</v>
      </c>
      <c r="AH42" s="6" t="s">
        <v>315</v>
      </c>
      <c r="AI42" s="26"/>
      <c r="AJ42" s="26"/>
      <c r="AK42" s="26"/>
      <c r="AL42" s="27"/>
    </row>
    <row r="43" spans="1:38" ht="96" x14ac:dyDescent="0.2">
      <c r="A43" s="16" t="s">
        <v>45</v>
      </c>
      <c r="B43" s="18">
        <v>5</v>
      </c>
      <c r="C43" s="19">
        <v>5</v>
      </c>
      <c r="D43" s="18">
        <v>6</v>
      </c>
      <c r="E43" s="19">
        <v>5</v>
      </c>
      <c r="F43" s="18">
        <v>6</v>
      </c>
      <c r="G43" s="19">
        <v>6</v>
      </c>
      <c r="H43" s="18">
        <v>5</v>
      </c>
      <c r="I43" s="19">
        <v>5</v>
      </c>
      <c r="J43" s="18">
        <v>5</v>
      </c>
      <c r="K43" s="19">
        <v>5</v>
      </c>
      <c r="L43" s="20">
        <v>5</v>
      </c>
      <c r="M43" s="20">
        <v>5</v>
      </c>
      <c r="N43" s="20">
        <v>6</v>
      </c>
      <c r="O43" s="20">
        <v>5</v>
      </c>
      <c r="P43" s="20">
        <v>5</v>
      </c>
      <c r="Q43" s="20">
        <v>6</v>
      </c>
      <c r="R43" s="21" t="s">
        <v>434</v>
      </c>
      <c r="S43" s="21" t="s">
        <v>435</v>
      </c>
      <c r="T43" s="21"/>
      <c r="U43" s="21" t="s">
        <v>436</v>
      </c>
      <c r="V43" s="21"/>
      <c r="W43" s="21"/>
      <c r="X43" s="21" t="s">
        <v>438</v>
      </c>
      <c r="Y43" s="21" t="s">
        <v>437</v>
      </c>
      <c r="Z43" s="21"/>
      <c r="AA43" s="21" t="s">
        <v>439</v>
      </c>
      <c r="AB43" s="21">
        <f t="shared" si="2"/>
        <v>6</v>
      </c>
      <c r="AC43" s="17">
        <f t="shared" si="4"/>
        <v>5.4</v>
      </c>
      <c r="AD43" s="17">
        <f t="shared" si="5"/>
        <v>5.2</v>
      </c>
      <c r="AE43" s="17">
        <f t="shared" si="3"/>
        <v>5.33</v>
      </c>
      <c r="AF43" s="17">
        <v>6</v>
      </c>
      <c r="AG43" s="17" t="s">
        <v>39</v>
      </c>
      <c r="AH43" s="6" t="s">
        <v>315</v>
      </c>
      <c r="AI43" s="26"/>
      <c r="AJ43" s="26"/>
      <c r="AK43" s="26"/>
      <c r="AL43" s="27"/>
    </row>
    <row r="44" spans="1:38" ht="16" customHeight="1" x14ac:dyDescent="0.2">
      <c r="A44" s="16" t="s">
        <v>46</v>
      </c>
      <c r="B44" s="18">
        <v>6</v>
      </c>
      <c r="C44" s="19"/>
      <c r="D44" s="18">
        <v>6</v>
      </c>
      <c r="E44" s="19"/>
      <c r="F44" s="18">
        <v>6</v>
      </c>
      <c r="G44" s="19"/>
      <c r="H44" s="18">
        <v>5</v>
      </c>
      <c r="I44" s="19"/>
      <c r="J44" s="18">
        <v>4</v>
      </c>
      <c r="K44" s="19"/>
      <c r="L44" s="20">
        <v>5</v>
      </c>
      <c r="M44" s="20">
        <v>4</v>
      </c>
      <c r="N44" s="20">
        <v>5</v>
      </c>
      <c r="O44" s="20">
        <v>5</v>
      </c>
      <c r="P44" s="20">
        <v>6</v>
      </c>
      <c r="Q44" s="20">
        <v>4</v>
      </c>
      <c r="R44" s="21"/>
      <c r="S44" s="21"/>
      <c r="T44" s="21"/>
      <c r="U44" s="21"/>
      <c r="V44" s="21" t="s">
        <v>499</v>
      </c>
      <c r="W44" s="21"/>
      <c r="X44" s="21"/>
      <c r="Y44" s="21"/>
      <c r="Z44" s="21"/>
      <c r="AA44" s="21"/>
      <c r="AB44" s="21">
        <f t="shared" si="2"/>
        <v>1</v>
      </c>
      <c r="AC44" s="17">
        <f t="shared" si="4"/>
        <v>5.4</v>
      </c>
      <c r="AD44" s="17">
        <f t="shared" si="5"/>
        <v>0</v>
      </c>
      <c r="AE44" s="17">
        <f t="shared" si="3"/>
        <v>4.83</v>
      </c>
      <c r="AF44" s="17">
        <v>7</v>
      </c>
      <c r="AG44" s="17" t="s">
        <v>39</v>
      </c>
      <c r="AH44" s="6" t="s">
        <v>404</v>
      </c>
      <c r="AI44" s="26"/>
      <c r="AJ44" s="26"/>
      <c r="AK44" s="26"/>
      <c r="AL44" s="27"/>
    </row>
    <row r="45" spans="1:38" ht="192" x14ac:dyDescent="0.2">
      <c r="A45" s="16" t="s">
        <v>47</v>
      </c>
      <c r="B45" s="18">
        <v>5</v>
      </c>
      <c r="C45" s="19">
        <v>5</v>
      </c>
      <c r="D45" s="18">
        <v>6</v>
      </c>
      <c r="E45" s="19">
        <v>6</v>
      </c>
      <c r="F45" s="18">
        <v>5</v>
      </c>
      <c r="G45" s="19">
        <v>5</v>
      </c>
      <c r="H45" s="18">
        <v>6</v>
      </c>
      <c r="I45" s="19">
        <v>6</v>
      </c>
      <c r="J45" s="18">
        <v>5</v>
      </c>
      <c r="K45" s="19">
        <v>5</v>
      </c>
      <c r="L45" s="20">
        <v>4</v>
      </c>
      <c r="M45" s="20">
        <v>5</v>
      </c>
      <c r="N45" s="20">
        <v>4</v>
      </c>
      <c r="O45" s="20">
        <v>5</v>
      </c>
      <c r="P45" s="20">
        <v>5</v>
      </c>
      <c r="Q45" s="20">
        <v>4</v>
      </c>
      <c r="R45" s="21" t="s">
        <v>445</v>
      </c>
      <c r="S45" s="21" t="s">
        <v>446</v>
      </c>
      <c r="T45" s="21" t="s">
        <v>447</v>
      </c>
      <c r="U45" s="21" t="s">
        <v>448</v>
      </c>
      <c r="V45" s="21" t="s">
        <v>449</v>
      </c>
      <c r="W45" s="21" t="s">
        <v>450</v>
      </c>
      <c r="X45" s="21" t="s">
        <v>451</v>
      </c>
      <c r="Y45" s="21"/>
      <c r="Z45" s="21"/>
      <c r="AA45" s="21"/>
      <c r="AB45" s="21">
        <f t="shared" si="2"/>
        <v>7</v>
      </c>
      <c r="AC45" s="17">
        <f t="shared" si="4"/>
        <v>5.4</v>
      </c>
      <c r="AD45" s="17">
        <f t="shared" si="5"/>
        <v>5.4</v>
      </c>
      <c r="AE45" s="17">
        <f t="shared" si="3"/>
        <v>4.5</v>
      </c>
      <c r="AF45" s="17">
        <v>8</v>
      </c>
      <c r="AG45" s="17" t="s">
        <v>39</v>
      </c>
      <c r="AH45" s="6" t="s">
        <v>315</v>
      </c>
      <c r="AI45" s="26"/>
      <c r="AJ45" s="26"/>
      <c r="AK45" s="26"/>
      <c r="AL45" s="27"/>
    </row>
    <row r="46" spans="1:38" ht="144" x14ac:dyDescent="0.2">
      <c r="A46" s="16" t="s">
        <v>48</v>
      </c>
      <c r="B46" s="18">
        <v>6</v>
      </c>
      <c r="C46" s="19">
        <v>5</v>
      </c>
      <c r="D46" s="18">
        <v>6</v>
      </c>
      <c r="E46" s="19">
        <v>5</v>
      </c>
      <c r="F46" s="18">
        <v>6</v>
      </c>
      <c r="G46" s="19">
        <v>6</v>
      </c>
      <c r="H46" s="18">
        <v>6</v>
      </c>
      <c r="I46" s="19">
        <v>6</v>
      </c>
      <c r="J46" s="18">
        <v>4</v>
      </c>
      <c r="K46" s="19">
        <v>4</v>
      </c>
      <c r="L46" s="20">
        <v>4</v>
      </c>
      <c r="M46" s="20">
        <v>3</v>
      </c>
      <c r="N46" s="20">
        <v>3</v>
      </c>
      <c r="O46" s="20">
        <v>4</v>
      </c>
      <c r="P46" s="20">
        <v>4</v>
      </c>
      <c r="Q46" s="20">
        <v>4</v>
      </c>
      <c r="R46" s="21"/>
      <c r="S46" s="21"/>
      <c r="T46" s="21"/>
      <c r="U46" s="21" t="s">
        <v>510</v>
      </c>
      <c r="V46" s="21"/>
      <c r="W46" s="21"/>
      <c r="X46" s="21"/>
      <c r="Y46" s="21"/>
      <c r="Z46" s="21"/>
      <c r="AA46" s="21"/>
      <c r="AB46" s="21">
        <f t="shared" si="2"/>
        <v>1</v>
      </c>
      <c r="AC46" s="17">
        <f t="shared" si="4"/>
        <v>5.6</v>
      </c>
      <c r="AD46" s="17">
        <f t="shared" si="5"/>
        <v>5.2</v>
      </c>
      <c r="AE46" s="17">
        <f t="shared" si="3"/>
        <v>3.67</v>
      </c>
      <c r="AF46" s="17">
        <v>9</v>
      </c>
      <c r="AG46" s="17" t="s">
        <v>39</v>
      </c>
      <c r="AH46" s="6" t="s">
        <v>315</v>
      </c>
      <c r="AI46" s="26"/>
      <c r="AJ46" s="26"/>
      <c r="AK46" s="26"/>
      <c r="AL46" s="27"/>
    </row>
    <row r="47" spans="1:38" ht="240" x14ac:dyDescent="0.2">
      <c r="A47" s="16" t="s">
        <v>49</v>
      </c>
      <c r="B47" s="18">
        <v>6</v>
      </c>
      <c r="C47" s="19">
        <v>7</v>
      </c>
      <c r="D47" s="18">
        <v>5</v>
      </c>
      <c r="E47" s="19">
        <v>6</v>
      </c>
      <c r="F47" s="18">
        <v>6</v>
      </c>
      <c r="G47" s="19">
        <v>6</v>
      </c>
      <c r="H47" s="18">
        <v>7</v>
      </c>
      <c r="I47" s="19">
        <v>7</v>
      </c>
      <c r="J47" s="18">
        <v>5</v>
      </c>
      <c r="K47" s="19">
        <v>6</v>
      </c>
      <c r="L47" s="20">
        <v>4</v>
      </c>
      <c r="M47" s="20">
        <v>4</v>
      </c>
      <c r="N47" s="20">
        <v>3</v>
      </c>
      <c r="O47" s="20">
        <v>3</v>
      </c>
      <c r="P47" s="20">
        <v>4</v>
      </c>
      <c r="Q47" s="20">
        <v>3</v>
      </c>
      <c r="R47" s="21" t="s">
        <v>440</v>
      </c>
      <c r="S47" s="21" t="s">
        <v>442</v>
      </c>
      <c r="T47" s="21" t="s">
        <v>441</v>
      </c>
      <c r="U47" s="21" t="s">
        <v>443</v>
      </c>
      <c r="V47" s="21" t="s">
        <v>444</v>
      </c>
      <c r="W47" s="21" t="s">
        <v>523</v>
      </c>
      <c r="X47" s="21" t="s">
        <v>524</v>
      </c>
      <c r="Y47" s="21"/>
      <c r="Z47" s="21"/>
      <c r="AA47" s="21"/>
      <c r="AB47" s="21">
        <f t="shared" si="2"/>
        <v>7</v>
      </c>
      <c r="AC47" s="17">
        <f t="shared" si="4"/>
        <v>5.8</v>
      </c>
      <c r="AD47" s="17">
        <f t="shared" si="5"/>
        <v>6.4</v>
      </c>
      <c r="AE47" s="17">
        <f t="shared" si="3"/>
        <v>3.5</v>
      </c>
      <c r="AF47" s="17">
        <v>10</v>
      </c>
      <c r="AG47" s="17" t="s">
        <v>39</v>
      </c>
      <c r="AH47" s="6" t="s">
        <v>315</v>
      </c>
      <c r="AI47" s="26"/>
      <c r="AJ47" s="26"/>
      <c r="AK47" s="26"/>
      <c r="AL47" s="27"/>
    </row>
    <row r="48" spans="1:38" ht="80" customHeight="1" x14ac:dyDescent="0.2">
      <c r="A48" s="16" t="s">
        <v>14</v>
      </c>
      <c r="B48" s="18">
        <v>7</v>
      </c>
      <c r="C48" s="19">
        <v>7</v>
      </c>
      <c r="D48" s="18">
        <v>5</v>
      </c>
      <c r="E48" s="19">
        <v>7</v>
      </c>
      <c r="F48" s="18">
        <v>7</v>
      </c>
      <c r="G48" s="19">
        <v>7</v>
      </c>
      <c r="H48" s="18">
        <v>6</v>
      </c>
      <c r="I48" s="19">
        <v>6</v>
      </c>
      <c r="J48" s="18">
        <v>4</v>
      </c>
      <c r="K48" s="19">
        <v>4</v>
      </c>
      <c r="L48" s="20">
        <v>5</v>
      </c>
      <c r="M48" s="20">
        <v>6</v>
      </c>
      <c r="N48" s="20">
        <v>7</v>
      </c>
      <c r="O48" s="20">
        <v>7</v>
      </c>
      <c r="P48" s="20">
        <v>7</v>
      </c>
      <c r="Q48" s="20">
        <v>7</v>
      </c>
      <c r="R48" s="21" t="s">
        <v>520</v>
      </c>
      <c r="S48" s="21"/>
      <c r="T48" s="21"/>
      <c r="U48" s="21" t="s">
        <v>521</v>
      </c>
      <c r="V48" s="21"/>
      <c r="W48" s="21" t="s">
        <v>549</v>
      </c>
      <c r="X48" s="21" t="s">
        <v>522</v>
      </c>
      <c r="Y48" s="21"/>
      <c r="Z48" s="21" t="s">
        <v>525</v>
      </c>
      <c r="AA48" s="21" t="s">
        <v>526</v>
      </c>
      <c r="AB48" s="21">
        <f t="shared" si="2"/>
        <v>6</v>
      </c>
      <c r="AC48" s="17">
        <f t="shared" si="4"/>
        <v>5.8</v>
      </c>
      <c r="AD48" s="17">
        <f t="shared" si="5"/>
        <v>6.2</v>
      </c>
      <c r="AE48" s="17">
        <f t="shared" si="3"/>
        <v>6.5</v>
      </c>
      <c r="AF48" s="17">
        <v>11</v>
      </c>
      <c r="AG48" s="17" t="s">
        <v>39</v>
      </c>
      <c r="AH48" s="6" t="s">
        <v>315</v>
      </c>
      <c r="AI48" s="26"/>
      <c r="AJ48" s="26"/>
      <c r="AK48" s="26"/>
      <c r="AL48" s="27"/>
    </row>
    <row r="49" spans="1:38" ht="16" x14ac:dyDescent="0.2">
      <c r="A49" s="16" t="s">
        <v>51</v>
      </c>
      <c r="B49" s="18">
        <v>5</v>
      </c>
      <c r="C49" s="19"/>
      <c r="D49" s="18">
        <v>7</v>
      </c>
      <c r="E49" s="19"/>
      <c r="F49" s="18">
        <v>6</v>
      </c>
      <c r="G49" s="19"/>
      <c r="H49" s="18">
        <v>6</v>
      </c>
      <c r="I49" s="19"/>
      <c r="J49" s="18">
        <v>5</v>
      </c>
      <c r="K49" s="19"/>
      <c r="L49" s="20">
        <v>4</v>
      </c>
      <c r="M49" s="20">
        <v>6</v>
      </c>
      <c r="N49" s="20">
        <v>3</v>
      </c>
      <c r="O49" s="20">
        <v>5</v>
      </c>
      <c r="P49" s="20">
        <v>4</v>
      </c>
      <c r="Q49" s="20">
        <v>4</v>
      </c>
      <c r="R49" s="21"/>
      <c r="S49" s="21"/>
      <c r="T49" s="21"/>
      <c r="U49" s="21"/>
      <c r="V49" s="21"/>
      <c r="W49" s="21"/>
      <c r="X49" s="21"/>
      <c r="Y49" s="21"/>
      <c r="Z49" s="21"/>
      <c r="AA49" s="21"/>
      <c r="AB49" s="21">
        <f t="shared" si="2"/>
        <v>0</v>
      </c>
      <c r="AC49" s="17">
        <f t="shared" si="4"/>
        <v>5.8</v>
      </c>
      <c r="AD49" s="17">
        <f t="shared" si="5"/>
        <v>0</v>
      </c>
      <c r="AE49" s="17">
        <f t="shared" si="3"/>
        <v>4.33</v>
      </c>
      <c r="AF49" s="17">
        <v>12</v>
      </c>
      <c r="AG49" s="17" t="s">
        <v>39</v>
      </c>
      <c r="AH49" s="6" t="s">
        <v>404</v>
      </c>
      <c r="AI49" s="26"/>
      <c r="AJ49" s="26"/>
      <c r="AK49" s="26"/>
      <c r="AL49" s="27"/>
    </row>
    <row r="50" spans="1:38" ht="96" x14ac:dyDescent="0.2">
      <c r="A50" s="16" t="s">
        <v>52</v>
      </c>
      <c r="B50" s="18">
        <v>6</v>
      </c>
      <c r="C50" s="19">
        <v>5</v>
      </c>
      <c r="D50" s="18">
        <v>6</v>
      </c>
      <c r="E50" s="19">
        <v>5</v>
      </c>
      <c r="F50" s="18">
        <v>6</v>
      </c>
      <c r="G50" s="19">
        <v>5</v>
      </c>
      <c r="H50" s="18">
        <v>7</v>
      </c>
      <c r="I50" s="19">
        <v>6</v>
      </c>
      <c r="J50" s="18">
        <v>5</v>
      </c>
      <c r="K50" s="19">
        <v>5</v>
      </c>
      <c r="L50" s="20">
        <v>4</v>
      </c>
      <c r="M50" s="20">
        <v>4</v>
      </c>
      <c r="N50" s="20">
        <v>4</v>
      </c>
      <c r="O50" s="20">
        <v>4</v>
      </c>
      <c r="P50" s="20">
        <v>4</v>
      </c>
      <c r="Q50" s="20">
        <v>4</v>
      </c>
      <c r="R50" s="21" t="s">
        <v>426</v>
      </c>
      <c r="S50" s="21" t="s">
        <v>427</v>
      </c>
      <c r="T50" s="21" t="s">
        <v>428</v>
      </c>
      <c r="U50" s="21"/>
      <c r="V50" s="21" t="s">
        <v>429</v>
      </c>
      <c r="W50" s="21" t="s">
        <v>430</v>
      </c>
      <c r="X50" s="21" t="s">
        <v>431</v>
      </c>
      <c r="Y50" s="21"/>
      <c r="Z50" s="21" t="s">
        <v>432</v>
      </c>
      <c r="AA50" s="21" t="s">
        <v>433</v>
      </c>
      <c r="AB50" s="21">
        <f t="shared" si="2"/>
        <v>8</v>
      </c>
      <c r="AC50" s="17">
        <f t="shared" si="4"/>
        <v>6</v>
      </c>
      <c r="AD50" s="17">
        <f t="shared" si="5"/>
        <v>5.2</v>
      </c>
      <c r="AE50" s="17">
        <f t="shared" si="3"/>
        <v>4</v>
      </c>
      <c r="AF50" s="17">
        <v>13</v>
      </c>
      <c r="AG50" s="17" t="s">
        <v>39</v>
      </c>
      <c r="AH50" s="6" t="s">
        <v>315</v>
      </c>
      <c r="AI50" s="26"/>
      <c r="AJ50" s="26"/>
      <c r="AK50" s="26"/>
      <c r="AL50" s="27"/>
    </row>
    <row r="51" spans="1:38" ht="380" x14ac:dyDescent="0.2">
      <c r="A51" s="16" t="s">
        <v>17</v>
      </c>
      <c r="B51" s="18">
        <v>6</v>
      </c>
      <c r="C51" s="19">
        <v>7</v>
      </c>
      <c r="D51" s="18">
        <v>6</v>
      </c>
      <c r="E51" s="19">
        <v>6</v>
      </c>
      <c r="F51" s="18">
        <v>6</v>
      </c>
      <c r="G51" s="19">
        <v>7</v>
      </c>
      <c r="H51" s="18">
        <v>6</v>
      </c>
      <c r="I51" s="19">
        <v>6</v>
      </c>
      <c r="J51" s="18">
        <v>6</v>
      </c>
      <c r="K51" s="19">
        <v>6</v>
      </c>
      <c r="L51" s="20">
        <v>5</v>
      </c>
      <c r="M51" s="20">
        <v>4</v>
      </c>
      <c r="N51" s="20">
        <v>5</v>
      </c>
      <c r="O51" s="20">
        <v>3</v>
      </c>
      <c r="P51" s="20">
        <v>4</v>
      </c>
      <c r="Q51" s="20">
        <v>4</v>
      </c>
      <c r="R51" s="21"/>
      <c r="S51" s="21"/>
      <c r="T51" s="21"/>
      <c r="U51" s="21"/>
      <c r="V51" s="21"/>
      <c r="W51" s="21" t="s">
        <v>527</v>
      </c>
      <c r="X51" s="21" t="s">
        <v>538</v>
      </c>
      <c r="Y51" s="21" t="s">
        <v>528</v>
      </c>
      <c r="Z51" s="21" t="s">
        <v>529</v>
      </c>
      <c r="AA51" s="21" t="s">
        <v>550</v>
      </c>
      <c r="AB51" s="21">
        <f t="shared" si="2"/>
        <v>5</v>
      </c>
      <c r="AC51" s="17">
        <f t="shared" si="4"/>
        <v>6</v>
      </c>
      <c r="AD51" s="17">
        <f t="shared" si="5"/>
        <v>6.4</v>
      </c>
      <c r="AE51" s="17">
        <f t="shared" si="3"/>
        <v>4.17</v>
      </c>
      <c r="AF51" s="17">
        <v>14</v>
      </c>
      <c r="AG51" s="17" t="s">
        <v>39</v>
      </c>
      <c r="AH51" s="6" t="s">
        <v>315</v>
      </c>
      <c r="AI51" s="26"/>
      <c r="AJ51" s="26"/>
      <c r="AK51" s="26"/>
      <c r="AL51" s="27"/>
    </row>
    <row r="52" spans="1:38" ht="80" x14ac:dyDescent="0.2">
      <c r="A52" s="16" t="s">
        <v>54</v>
      </c>
      <c r="B52" s="18">
        <v>7</v>
      </c>
      <c r="C52" s="19">
        <v>6</v>
      </c>
      <c r="D52" s="18">
        <v>6</v>
      </c>
      <c r="E52" s="19">
        <v>6</v>
      </c>
      <c r="F52" s="18">
        <v>7</v>
      </c>
      <c r="G52" s="19">
        <v>7</v>
      </c>
      <c r="H52" s="18">
        <v>6</v>
      </c>
      <c r="I52" s="19">
        <v>6</v>
      </c>
      <c r="J52" s="18">
        <v>5</v>
      </c>
      <c r="K52" s="19">
        <v>5</v>
      </c>
      <c r="L52" s="20">
        <v>5</v>
      </c>
      <c r="M52" s="20">
        <v>6</v>
      </c>
      <c r="N52" s="20">
        <v>5</v>
      </c>
      <c r="O52" s="20">
        <v>4</v>
      </c>
      <c r="P52" s="20">
        <v>5</v>
      </c>
      <c r="Q52" s="20">
        <v>6</v>
      </c>
      <c r="R52" s="21" t="s">
        <v>496</v>
      </c>
      <c r="S52" s="21" t="s">
        <v>497</v>
      </c>
      <c r="T52" s="21"/>
      <c r="U52" s="21"/>
      <c r="V52" s="21"/>
      <c r="W52" s="21" t="s">
        <v>498</v>
      </c>
      <c r="X52" s="21"/>
      <c r="Y52" s="21"/>
      <c r="Z52" s="21"/>
      <c r="AA52" s="21"/>
      <c r="AB52" s="21">
        <f t="shared" si="2"/>
        <v>3</v>
      </c>
      <c r="AC52" s="17">
        <f t="shared" si="4"/>
        <v>6.2</v>
      </c>
      <c r="AD52" s="17">
        <f t="shared" si="5"/>
        <v>6</v>
      </c>
      <c r="AE52" s="17">
        <f t="shared" si="3"/>
        <v>5.17</v>
      </c>
      <c r="AF52" s="17">
        <v>15</v>
      </c>
      <c r="AG52" s="17" t="s">
        <v>39</v>
      </c>
      <c r="AH52" s="6" t="s">
        <v>315</v>
      </c>
      <c r="AI52" s="26"/>
      <c r="AJ52" s="26"/>
      <c r="AK52" s="26"/>
      <c r="AL52" s="27"/>
    </row>
    <row r="53" spans="1:38" ht="350" x14ac:dyDescent="0.2">
      <c r="A53" s="16" t="s">
        <v>55</v>
      </c>
      <c r="B53" s="18">
        <v>5</v>
      </c>
      <c r="C53" s="19">
        <v>7</v>
      </c>
      <c r="D53" s="18">
        <v>7</v>
      </c>
      <c r="E53" s="19">
        <v>7</v>
      </c>
      <c r="F53" s="18">
        <v>7</v>
      </c>
      <c r="G53" s="19">
        <v>7</v>
      </c>
      <c r="H53" s="18">
        <v>7</v>
      </c>
      <c r="I53" s="19">
        <v>7</v>
      </c>
      <c r="J53" s="18">
        <v>5</v>
      </c>
      <c r="K53" s="19">
        <v>6</v>
      </c>
      <c r="L53" s="20">
        <v>6</v>
      </c>
      <c r="M53" s="20">
        <v>6</v>
      </c>
      <c r="N53" s="20">
        <v>3</v>
      </c>
      <c r="O53" s="20">
        <v>6</v>
      </c>
      <c r="P53" s="20">
        <v>7</v>
      </c>
      <c r="Q53" s="20">
        <v>6</v>
      </c>
      <c r="R53" s="21" t="s">
        <v>470</v>
      </c>
      <c r="S53" s="21" t="s">
        <v>471</v>
      </c>
      <c r="T53" s="21" t="s">
        <v>472</v>
      </c>
      <c r="U53" s="21"/>
      <c r="V53" s="21" t="s">
        <v>473</v>
      </c>
      <c r="W53" s="21" t="s">
        <v>474</v>
      </c>
      <c r="X53" s="21" t="s">
        <v>530</v>
      </c>
      <c r="Y53" s="21" t="s">
        <v>539</v>
      </c>
      <c r="Z53" s="21" t="s">
        <v>551</v>
      </c>
      <c r="AA53" s="21"/>
      <c r="AB53" s="21">
        <f t="shared" si="2"/>
        <v>8</v>
      </c>
      <c r="AC53" s="17">
        <f t="shared" si="4"/>
        <v>6.2</v>
      </c>
      <c r="AD53" s="17">
        <f t="shared" si="5"/>
        <v>6.8</v>
      </c>
      <c r="AE53" s="17">
        <f t="shared" si="3"/>
        <v>5.67</v>
      </c>
      <c r="AF53" s="17">
        <v>16</v>
      </c>
      <c r="AG53" s="17" t="s">
        <v>39</v>
      </c>
      <c r="AH53" s="6" t="s">
        <v>315</v>
      </c>
      <c r="AI53" s="26"/>
      <c r="AJ53" s="26"/>
      <c r="AK53" s="26"/>
      <c r="AL53" s="27"/>
    </row>
    <row r="54" spans="1:38" ht="256" x14ac:dyDescent="0.2">
      <c r="A54" s="16" t="s">
        <v>56</v>
      </c>
      <c r="B54" s="18">
        <v>5</v>
      </c>
      <c r="C54" s="19">
        <v>6</v>
      </c>
      <c r="D54" s="18">
        <v>7</v>
      </c>
      <c r="E54" s="19">
        <v>6</v>
      </c>
      <c r="F54" s="18">
        <v>6</v>
      </c>
      <c r="G54" s="19">
        <v>5</v>
      </c>
      <c r="H54" s="18">
        <v>7</v>
      </c>
      <c r="I54" s="19">
        <v>7</v>
      </c>
      <c r="J54" s="18">
        <v>6</v>
      </c>
      <c r="K54" s="19">
        <v>4</v>
      </c>
      <c r="L54" s="20">
        <v>5</v>
      </c>
      <c r="M54" s="20">
        <v>2</v>
      </c>
      <c r="N54" s="20">
        <v>5</v>
      </c>
      <c r="O54" s="20">
        <v>4</v>
      </c>
      <c r="P54" s="20">
        <v>2</v>
      </c>
      <c r="Q54" s="20">
        <v>5</v>
      </c>
      <c r="R54" s="21" t="s">
        <v>416</v>
      </c>
      <c r="S54" s="21" t="s">
        <v>417</v>
      </c>
      <c r="T54" s="21" t="s">
        <v>418</v>
      </c>
      <c r="U54" s="21" t="s">
        <v>423</v>
      </c>
      <c r="V54" s="21" t="s">
        <v>419</v>
      </c>
      <c r="W54" s="21" t="s">
        <v>422</v>
      </c>
      <c r="X54" s="21" t="s">
        <v>420</v>
      </c>
      <c r="Y54" s="21" t="s">
        <v>421</v>
      </c>
      <c r="Z54" s="21" t="s">
        <v>424</v>
      </c>
      <c r="AA54" s="21" t="s">
        <v>425</v>
      </c>
      <c r="AB54" s="21">
        <f t="shared" si="2"/>
        <v>10</v>
      </c>
      <c r="AC54" s="17">
        <f t="shared" si="4"/>
        <v>6.2</v>
      </c>
      <c r="AD54" s="17">
        <f t="shared" si="5"/>
        <v>5.6</v>
      </c>
      <c r="AE54" s="17">
        <f t="shared" si="3"/>
        <v>3.83</v>
      </c>
      <c r="AF54" s="17">
        <v>17</v>
      </c>
      <c r="AG54" s="17" t="s">
        <v>39</v>
      </c>
      <c r="AH54" s="6" t="s">
        <v>315</v>
      </c>
      <c r="AI54" s="26"/>
      <c r="AJ54" s="26"/>
      <c r="AK54" s="26"/>
      <c r="AL54" s="27"/>
    </row>
    <row r="55" spans="1:38" ht="112" customHeight="1" x14ac:dyDescent="0.2">
      <c r="A55" s="16" t="s">
        <v>21</v>
      </c>
      <c r="B55" s="18">
        <v>6</v>
      </c>
      <c r="C55" s="19">
        <v>6</v>
      </c>
      <c r="D55" s="18">
        <v>6</v>
      </c>
      <c r="E55" s="19">
        <v>5</v>
      </c>
      <c r="F55" s="18">
        <v>7</v>
      </c>
      <c r="G55" s="19">
        <v>5</v>
      </c>
      <c r="H55" s="18">
        <v>7</v>
      </c>
      <c r="I55" s="19">
        <v>6</v>
      </c>
      <c r="J55" s="18">
        <v>6</v>
      </c>
      <c r="K55" s="19">
        <v>5</v>
      </c>
      <c r="L55" s="20">
        <v>3</v>
      </c>
      <c r="M55" s="20">
        <v>3</v>
      </c>
      <c r="N55" s="20">
        <v>4</v>
      </c>
      <c r="O55" s="20">
        <v>5</v>
      </c>
      <c r="P55" s="20">
        <v>4</v>
      </c>
      <c r="Q55" s="20">
        <v>2</v>
      </c>
      <c r="R55" s="21" t="s">
        <v>517</v>
      </c>
      <c r="S55" s="21" t="s">
        <v>519</v>
      </c>
      <c r="T55" s="21" t="s">
        <v>518</v>
      </c>
      <c r="U55" s="21"/>
      <c r="V55" s="21"/>
      <c r="W55" s="21"/>
      <c r="X55" s="21"/>
      <c r="Y55" s="21"/>
      <c r="Z55" s="21"/>
      <c r="AA55" s="21"/>
      <c r="AB55" s="21">
        <f t="shared" si="2"/>
        <v>3</v>
      </c>
      <c r="AC55" s="17">
        <f t="shared" si="4"/>
        <v>6.4</v>
      </c>
      <c r="AD55" s="17">
        <f t="shared" si="5"/>
        <v>5.4</v>
      </c>
      <c r="AE55" s="17">
        <f t="shared" si="3"/>
        <v>3.5</v>
      </c>
      <c r="AF55" s="17">
        <v>18</v>
      </c>
      <c r="AG55" s="17" t="s">
        <v>39</v>
      </c>
      <c r="AH55" s="6" t="s">
        <v>315</v>
      </c>
      <c r="AI55" s="26"/>
      <c r="AJ55" s="26"/>
      <c r="AK55" s="26"/>
      <c r="AL55" s="27"/>
    </row>
    <row r="56" spans="1:38" ht="32" x14ac:dyDescent="0.2">
      <c r="A56" s="16" t="s">
        <v>58</v>
      </c>
      <c r="B56" s="18">
        <v>7</v>
      </c>
      <c r="C56" s="19">
        <v>7</v>
      </c>
      <c r="D56" s="18">
        <v>6</v>
      </c>
      <c r="E56" s="19">
        <v>6</v>
      </c>
      <c r="F56" s="18">
        <v>6</v>
      </c>
      <c r="G56" s="19">
        <v>7</v>
      </c>
      <c r="H56" s="18">
        <v>6</v>
      </c>
      <c r="I56" s="19">
        <v>6</v>
      </c>
      <c r="J56" s="18">
        <v>7</v>
      </c>
      <c r="K56" s="19">
        <v>6</v>
      </c>
      <c r="L56" s="20">
        <v>6</v>
      </c>
      <c r="M56" s="20">
        <v>4</v>
      </c>
      <c r="N56" s="20">
        <v>4</v>
      </c>
      <c r="O56" s="20">
        <v>5</v>
      </c>
      <c r="P56" s="20">
        <v>5</v>
      </c>
      <c r="Q56" s="20">
        <v>5</v>
      </c>
      <c r="R56" s="21" t="s">
        <v>516</v>
      </c>
      <c r="S56" s="21"/>
      <c r="T56" s="21"/>
      <c r="U56" s="21"/>
      <c r="V56" s="21"/>
      <c r="W56" s="21"/>
      <c r="X56" s="21"/>
      <c r="Y56" s="21"/>
      <c r="Z56" s="21"/>
      <c r="AA56" s="21"/>
      <c r="AB56" s="21">
        <f t="shared" si="2"/>
        <v>1</v>
      </c>
      <c r="AC56" s="17">
        <f t="shared" si="4"/>
        <v>6.4</v>
      </c>
      <c r="AD56" s="17">
        <f t="shared" si="5"/>
        <v>6.4</v>
      </c>
      <c r="AE56" s="17">
        <f t="shared" si="3"/>
        <v>4.83</v>
      </c>
      <c r="AF56" s="17">
        <v>19</v>
      </c>
      <c r="AG56" s="17" t="s">
        <v>39</v>
      </c>
      <c r="AH56" s="6" t="s">
        <v>315</v>
      </c>
      <c r="AI56" s="26"/>
      <c r="AJ56" s="26"/>
      <c r="AK56" s="26"/>
      <c r="AL56" s="27"/>
    </row>
    <row r="57" spans="1:38" ht="192" x14ac:dyDescent="0.2">
      <c r="A57" s="16" t="s">
        <v>23</v>
      </c>
      <c r="B57" s="18">
        <v>7</v>
      </c>
      <c r="C57" s="19">
        <v>7</v>
      </c>
      <c r="D57" s="18">
        <v>7</v>
      </c>
      <c r="E57" s="19">
        <v>6</v>
      </c>
      <c r="F57" s="18">
        <v>7</v>
      </c>
      <c r="G57" s="19">
        <v>7</v>
      </c>
      <c r="H57" s="18">
        <v>6</v>
      </c>
      <c r="I57" s="19">
        <v>7</v>
      </c>
      <c r="J57" s="18">
        <v>5</v>
      </c>
      <c r="K57" s="19">
        <v>6</v>
      </c>
      <c r="L57" s="20">
        <v>6</v>
      </c>
      <c r="M57" s="20">
        <v>6</v>
      </c>
      <c r="N57" s="20">
        <v>5</v>
      </c>
      <c r="O57" s="20">
        <v>5</v>
      </c>
      <c r="P57" s="20">
        <v>5</v>
      </c>
      <c r="Q57" s="20">
        <v>6</v>
      </c>
      <c r="R57" s="21" t="s">
        <v>540</v>
      </c>
      <c r="S57" s="21"/>
      <c r="T57" s="21" t="s">
        <v>541</v>
      </c>
      <c r="U57" s="21" t="s">
        <v>531</v>
      </c>
      <c r="V57" s="21" t="s">
        <v>542</v>
      </c>
      <c r="W57" s="21"/>
      <c r="X57" s="21"/>
      <c r="Y57" s="21"/>
      <c r="Z57" s="21" t="s">
        <v>532</v>
      </c>
      <c r="AA57" s="21" t="s">
        <v>533</v>
      </c>
      <c r="AB57" s="21">
        <f t="shared" si="2"/>
        <v>6</v>
      </c>
      <c r="AC57" s="17">
        <f t="shared" si="4"/>
        <v>6.4</v>
      </c>
      <c r="AD57" s="17">
        <f t="shared" si="5"/>
        <v>6.6</v>
      </c>
      <c r="AE57" s="17">
        <f t="shared" si="3"/>
        <v>5.5</v>
      </c>
      <c r="AF57" s="17">
        <v>20</v>
      </c>
      <c r="AG57" s="17" t="s">
        <v>39</v>
      </c>
      <c r="AH57" s="6" t="s">
        <v>315</v>
      </c>
      <c r="AI57" s="26"/>
      <c r="AJ57" s="26"/>
      <c r="AK57" s="26"/>
      <c r="AL57" s="27"/>
    </row>
    <row r="58" spans="1:38" ht="272" x14ac:dyDescent="0.2">
      <c r="A58" s="16" t="s">
        <v>24</v>
      </c>
      <c r="B58" s="18">
        <v>7</v>
      </c>
      <c r="C58" s="19">
        <v>6</v>
      </c>
      <c r="D58" s="18">
        <v>7</v>
      </c>
      <c r="E58" s="19">
        <v>6</v>
      </c>
      <c r="F58" s="18">
        <v>7</v>
      </c>
      <c r="G58" s="19">
        <v>7</v>
      </c>
      <c r="H58" s="18">
        <v>6</v>
      </c>
      <c r="I58" s="19">
        <v>6</v>
      </c>
      <c r="J58" s="18">
        <v>6</v>
      </c>
      <c r="K58" s="19">
        <v>5</v>
      </c>
      <c r="L58" s="20">
        <v>5</v>
      </c>
      <c r="M58" s="20">
        <v>7</v>
      </c>
      <c r="N58" s="20">
        <v>5</v>
      </c>
      <c r="O58" s="20">
        <v>7</v>
      </c>
      <c r="P58" s="20">
        <v>6</v>
      </c>
      <c r="Q58" s="20">
        <v>5</v>
      </c>
      <c r="R58" s="21" t="s">
        <v>500</v>
      </c>
      <c r="S58" s="21" t="s">
        <v>534</v>
      </c>
      <c r="T58" s="21" t="s">
        <v>535</v>
      </c>
      <c r="U58" s="21"/>
      <c r="V58" s="21"/>
      <c r="W58" s="21" t="s">
        <v>543</v>
      </c>
      <c r="X58" s="21"/>
      <c r="Y58" s="21"/>
      <c r="Z58" s="21"/>
      <c r="AA58" s="21"/>
      <c r="AB58" s="21">
        <f t="shared" si="2"/>
        <v>4</v>
      </c>
      <c r="AC58" s="17">
        <f t="shared" si="4"/>
        <v>6.6</v>
      </c>
      <c r="AD58" s="17">
        <f t="shared" si="5"/>
        <v>6</v>
      </c>
      <c r="AE58" s="17">
        <f t="shared" si="3"/>
        <v>5.83</v>
      </c>
      <c r="AF58" s="17">
        <v>21</v>
      </c>
      <c r="AG58" s="17" t="s">
        <v>39</v>
      </c>
      <c r="AH58" s="6" t="s">
        <v>315</v>
      </c>
      <c r="AI58" s="26"/>
      <c r="AJ58" s="26"/>
      <c r="AK58" s="26"/>
      <c r="AL58" s="27"/>
    </row>
    <row r="59" spans="1:38" ht="48" x14ac:dyDescent="0.2">
      <c r="A59" s="16" t="s">
        <v>61</v>
      </c>
      <c r="B59" s="18">
        <v>5</v>
      </c>
      <c r="C59" s="19">
        <v>6</v>
      </c>
      <c r="D59" s="18">
        <v>7</v>
      </c>
      <c r="E59" s="19">
        <v>6</v>
      </c>
      <c r="F59" s="18">
        <v>7</v>
      </c>
      <c r="G59" s="19">
        <v>6</v>
      </c>
      <c r="H59" s="18">
        <v>7</v>
      </c>
      <c r="I59" s="19">
        <v>6</v>
      </c>
      <c r="J59" s="18">
        <v>7</v>
      </c>
      <c r="K59" s="19">
        <v>6</v>
      </c>
      <c r="L59" s="20">
        <v>4</v>
      </c>
      <c r="M59" s="20">
        <v>4</v>
      </c>
      <c r="N59" s="20">
        <v>4</v>
      </c>
      <c r="O59" s="20">
        <v>4</v>
      </c>
      <c r="P59" s="20">
        <v>4</v>
      </c>
      <c r="Q59" s="20">
        <v>4</v>
      </c>
      <c r="R59" s="21" t="s">
        <v>536</v>
      </c>
      <c r="S59" s="21" t="s">
        <v>537</v>
      </c>
      <c r="T59" s="21"/>
      <c r="U59" s="21"/>
      <c r="V59" s="21"/>
      <c r="W59" s="21"/>
      <c r="X59" s="21"/>
      <c r="Y59" s="21"/>
      <c r="Z59" s="21"/>
      <c r="AA59" s="21"/>
      <c r="AB59" s="21">
        <f t="shared" si="2"/>
        <v>2</v>
      </c>
      <c r="AC59" s="17">
        <f t="shared" si="4"/>
        <v>6.6</v>
      </c>
      <c r="AD59" s="17">
        <f t="shared" si="5"/>
        <v>6</v>
      </c>
      <c r="AE59" s="17">
        <f t="shared" si="3"/>
        <v>4</v>
      </c>
      <c r="AF59" s="17">
        <v>22</v>
      </c>
      <c r="AG59" s="17" t="s">
        <v>39</v>
      </c>
      <c r="AH59" s="6" t="s">
        <v>315</v>
      </c>
      <c r="AI59" s="26"/>
      <c r="AJ59" s="26"/>
      <c r="AK59" s="26"/>
      <c r="AL59" s="27"/>
    </row>
    <row r="60" spans="1:38" ht="156" customHeight="1" x14ac:dyDescent="0.2">
      <c r="A60" s="16" t="s">
        <v>26</v>
      </c>
      <c r="B60" s="18">
        <v>6</v>
      </c>
      <c r="C60" s="19">
        <v>6</v>
      </c>
      <c r="D60" s="18">
        <v>7</v>
      </c>
      <c r="E60" s="19">
        <v>6</v>
      </c>
      <c r="F60" s="18">
        <v>7</v>
      </c>
      <c r="G60" s="19">
        <v>7</v>
      </c>
      <c r="H60" s="18">
        <v>7</v>
      </c>
      <c r="I60" s="19">
        <v>6</v>
      </c>
      <c r="J60" s="18">
        <v>6</v>
      </c>
      <c r="K60" s="19">
        <v>5</v>
      </c>
      <c r="L60" s="20">
        <v>4</v>
      </c>
      <c r="M60" s="20">
        <v>6</v>
      </c>
      <c r="N60" s="20">
        <v>7</v>
      </c>
      <c r="O60" s="20">
        <v>6</v>
      </c>
      <c r="P60" s="20">
        <v>6</v>
      </c>
      <c r="Q60" s="20">
        <v>6</v>
      </c>
      <c r="R60" s="21" t="s">
        <v>406</v>
      </c>
      <c r="S60" s="21" t="s">
        <v>407</v>
      </c>
      <c r="T60" s="21" t="s">
        <v>408</v>
      </c>
      <c r="U60" s="21" t="s">
        <v>409</v>
      </c>
      <c r="V60" s="21" t="s">
        <v>410</v>
      </c>
      <c r="W60" s="21" t="s">
        <v>411</v>
      </c>
      <c r="X60" s="21" t="s">
        <v>412</v>
      </c>
      <c r="Y60" s="21" t="s">
        <v>413</v>
      </c>
      <c r="Z60" s="21" t="s">
        <v>414</v>
      </c>
      <c r="AA60" s="21" t="s">
        <v>415</v>
      </c>
      <c r="AB60" s="21">
        <f t="shared" si="2"/>
        <v>10</v>
      </c>
      <c r="AC60" s="17">
        <f t="shared" si="4"/>
        <v>6.6</v>
      </c>
      <c r="AD60" s="17">
        <f t="shared" si="5"/>
        <v>6</v>
      </c>
      <c r="AE60" s="17">
        <f t="shared" si="3"/>
        <v>5.83</v>
      </c>
      <c r="AF60" s="17">
        <v>23</v>
      </c>
      <c r="AG60" s="17" t="s">
        <v>39</v>
      </c>
      <c r="AH60" s="6" t="s">
        <v>315</v>
      </c>
      <c r="AI60" s="26"/>
      <c r="AJ60" s="26"/>
      <c r="AK60" s="26"/>
      <c r="AL60" s="27"/>
    </row>
    <row r="61" spans="1:38" ht="16" x14ac:dyDescent="0.2">
      <c r="A61" s="16" t="s">
        <v>63</v>
      </c>
      <c r="B61" s="18">
        <v>6</v>
      </c>
      <c r="C61" s="19">
        <v>6</v>
      </c>
      <c r="D61" s="18">
        <v>7</v>
      </c>
      <c r="E61" s="19">
        <v>7</v>
      </c>
      <c r="F61" s="18">
        <v>7</v>
      </c>
      <c r="G61" s="19">
        <v>7</v>
      </c>
      <c r="H61" s="18">
        <v>7</v>
      </c>
      <c r="I61" s="19">
        <v>7</v>
      </c>
      <c r="J61" s="18">
        <v>6</v>
      </c>
      <c r="K61" s="19">
        <v>6</v>
      </c>
      <c r="L61" s="20">
        <v>6</v>
      </c>
      <c r="M61" s="20">
        <v>5</v>
      </c>
      <c r="N61" s="20">
        <v>5</v>
      </c>
      <c r="O61" s="20">
        <v>5</v>
      </c>
      <c r="P61" s="20">
        <v>5</v>
      </c>
      <c r="Q61" s="20">
        <v>4</v>
      </c>
      <c r="R61" s="21"/>
      <c r="S61" s="21"/>
      <c r="T61" s="21" t="s">
        <v>509</v>
      </c>
      <c r="U61" s="21"/>
      <c r="V61" s="21"/>
      <c r="W61" s="21"/>
      <c r="X61" s="21"/>
      <c r="Y61" s="21"/>
      <c r="Z61" s="21"/>
      <c r="AA61" s="21"/>
      <c r="AB61" s="21">
        <f t="shared" si="2"/>
        <v>1</v>
      </c>
      <c r="AC61" s="17">
        <f t="shared" si="4"/>
        <v>6.6</v>
      </c>
      <c r="AD61" s="17">
        <f t="shared" si="5"/>
        <v>6.6</v>
      </c>
      <c r="AE61" s="17">
        <f t="shared" si="3"/>
        <v>5</v>
      </c>
      <c r="AF61" s="17">
        <v>24</v>
      </c>
      <c r="AG61" s="17" t="s">
        <v>39</v>
      </c>
      <c r="AH61" s="6" t="s">
        <v>315</v>
      </c>
      <c r="AI61" s="26"/>
      <c r="AJ61" s="26"/>
      <c r="AK61" s="26"/>
      <c r="AL61" s="27"/>
    </row>
    <row r="62" spans="1:38" ht="16" x14ac:dyDescent="0.2">
      <c r="A62" s="16" t="s">
        <v>28</v>
      </c>
      <c r="B62" s="18">
        <v>7</v>
      </c>
      <c r="C62" s="19">
        <v>7</v>
      </c>
      <c r="D62" s="18">
        <v>7</v>
      </c>
      <c r="E62" s="19">
        <v>7</v>
      </c>
      <c r="F62" s="18">
        <v>7</v>
      </c>
      <c r="G62" s="19">
        <v>7</v>
      </c>
      <c r="H62" s="18">
        <v>7</v>
      </c>
      <c r="I62" s="19">
        <v>7</v>
      </c>
      <c r="J62" s="18">
        <v>6</v>
      </c>
      <c r="K62" s="19">
        <v>7</v>
      </c>
      <c r="L62" s="23"/>
      <c r="M62" s="23"/>
      <c r="N62" s="23"/>
      <c r="O62" s="23"/>
      <c r="P62" s="23"/>
      <c r="Q62" s="23"/>
      <c r="R62" s="21"/>
      <c r="S62" s="21"/>
      <c r="T62" s="21"/>
      <c r="U62" s="21"/>
      <c r="V62" s="21"/>
      <c r="W62" s="21"/>
      <c r="X62" s="21"/>
      <c r="Y62" s="21"/>
      <c r="Z62" s="21"/>
      <c r="AA62" s="21"/>
      <c r="AB62" s="21">
        <f t="shared" si="2"/>
        <v>0</v>
      </c>
      <c r="AC62" s="17">
        <f t="shared" si="4"/>
        <v>6.8</v>
      </c>
      <c r="AD62" s="17">
        <f t="shared" si="5"/>
        <v>7</v>
      </c>
      <c r="AE62" s="17">
        <f t="shared" si="3"/>
        <v>0</v>
      </c>
      <c r="AF62" s="17">
        <v>25</v>
      </c>
      <c r="AG62" s="17" t="s">
        <v>39</v>
      </c>
      <c r="AH62" s="6" t="s">
        <v>552</v>
      </c>
      <c r="AI62" s="26"/>
      <c r="AJ62" s="26"/>
      <c r="AK62" s="26"/>
      <c r="AL62" s="27"/>
    </row>
    <row r="63" spans="1:38" ht="48" x14ac:dyDescent="0.2">
      <c r="A63" s="16" t="s">
        <v>29</v>
      </c>
      <c r="B63" s="18">
        <v>7</v>
      </c>
      <c r="C63" s="19">
        <v>7</v>
      </c>
      <c r="D63" s="18">
        <v>7</v>
      </c>
      <c r="E63" s="19">
        <v>6</v>
      </c>
      <c r="F63" s="18">
        <v>6</v>
      </c>
      <c r="G63" s="19">
        <v>3</v>
      </c>
      <c r="H63" s="18">
        <v>7</v>
      </c>
      <c r="I63" s="19">
        <v>6</v>
      </c>
      <c r="J63" s="18">
        <v>7</v>
      </c>
      <c r="K63" s="19">
        <v>6</v>
      </c>
      <c r="L63" s="20">
        <v>3</v>
      </c>
      <c r="M63" s="20">
        <v>2</v>
      </c>
      <c r="N63" s="20">
        <v>1</v>
      </c>
      <c r="O63" s="20">
        <v>2</v>
      </c>
      <c r="P63" s="20">
        <v>4</v>
      </c>
      <c r="Q63" s="20">
        <v>4</v>
      </c>
      <c r="R63" s="21"/>
      <c r="S63" s="21" t="s">
        <v>452</v>
      </c>
      <c r="T63" s="21" t="s">
        <v>453</v>
      </c>
      <c r="U63" s="21" t="s">
        <v>454</v>
      </c>
      <c r="V63" s="21" t="s">
        <v>455</v>
      </c>
      <c r="W63" s="21" t="s">
        <v>456</v>
      </c>
      <c r="X63" s="21" t="s">
        <v>457</v>
      </c>
      <c r="Y63" s="21" t="s">
        <v>458</v>
      </c>
      <c r="Z63" s="21" t="s">
        <v>459</v>
      </c>
      <c r="AA63" s="21"/>
      <c r="AB63" s="21">
        <f t="shared" si="2"/>
        <v>8</v>
      </c>
      <c r="AC63" s="17">
        <f t="shared" si="4"/>
        <v>6.8</v>
      </c>
      <c r="AD63" s="17">
        <f t="shared" si="5"/>
        <v>5.6</v>
      </c>
      <c r="AE63" s="17">
        <f t="shared" si="3"/>
        <v>2.67</v>
      </c>
      <c r="AF63" s="17">
        <v>26</v>
      </c>
      <c r="AG63" s="17" t="s">
        <v>39</v>
      </c>
      <c r="AH63" s="6" t="s">
        <v>315</v>
      </c>
      <c r="AI63" s="26"/>
      <c r="AJ63" s="26"/>
      <c r="AK63" s="26"/>
      <c r="AL63" s="27"/>
    </row>
    <row r="64" spans="1:38" ht="112" x14ac:dyDescent="0.2">
      <c r="A64" s="16" t="s">
        <v>66</v>
      </c>
      <c r="B64" s="18">
        <v>7</v>
      </c>
      <c r="C64" s="19">
        <v>7</v>
      </c>
      <c r="D64" s="18">
        <v>6</v>
      </c>
      <c r="E64" s="19">
        <v>7</v>
      </c>
      <c r="F64" s="18">
        <v>7</v>
      </c>
      <c r="G64" s="19">
        <v>7</v>
      </c>
      <c r="H64" s="18">
        <v>7</v>
      </c>
      <c r="I64" s="19">
        <v>7</v>
      </c>
      <c r="J64" s="18">
        <v>7</v>
      </c>
      <c r="K64" s="19">
        <v>7</v>
      </c>
      <c r="L64" s="20">
        <v>5</v>
      </c>
      <c r="M64" s="20">
        <v>5</v>
      </c>
      <c r="N64" s="20">
        <v>5</v>
      </c>
      <c r="O64" s="20">
        <v>5</v>
      </c>
      <c r="P64" s="20">
        <v>5</v>
      </c>
      <c r="Q64" s="20">
        <v>1</v>
      </c>
      <c r="R64" s="21" t="s">
        <v>492</v>
      </c>
      <c r="S64" s="21" t="s">
        <v>493</v>
      </c>
      <c r="T64" s="21"/>
      <c r="U64" s="21" t="s">
        <v>495</v>
      </c>
      <c r="V64" s="21" t="s">
        <v>494</v>
      </c>
      <c r="W64" s="21"/>
      <c r="X64" s="21"/>
      <c r="Y64" s="21"/>
      <c r="Z64" s="21"/>
      <c r="AA64" s="21"/>
      <c r="AB64" s="21">
        <f t="shared" si="2"/>
        <v>4</v>
      </c>
      <c r="AC64" s="17">
        <f t="shared" si="4"/>
        <v>6.8</v>
      </c>
      <c r="AD64" s="17">
        <f t="shared" si="5"/>
        <v>7</v>
      </c>
      <c r="AE64" s="17">
        <f t="shared" si="3"/>
        <v>4.33</v>
      </c>
      <c r="AF64" s="17">
        <v>27</v>
      </c>
      <c r="AG64" s="17" t="s">
        <v>39</v>
      </c>
      <c r="AH64" s="6" t="s">
        <v>315</v>
      </c>
      <c r="AI64" s="26"/>
      <c r="AJ64" s="26"/>
      <c r="AK64" s="26"/>
      <c r="AL64" s="27"/>
    </row>
    <row r="65" spans="1:38" ht="64" customHeight="1" x14ac:dyDescent="0.2">
      <c r="A65" s="16" t="s">
        <v>67</v>
      </c>
      <c r="B65" s="18">
        <v>7</v>
      </c>
      <c r="C65" s="19">
        <v>6</v>
      </c>
      <c r="D65" s="18">
        <v>7</v>
      </c>
      <c r="E65" s="19">
        <v>7</v>
      </c>
      <c r="F65" s="18">
        <v>7</v>
      </c>
      <c r="G65" s="19">
        <v>6</v>
      </c>
      <c r="H65" s="18">
        <v>7</v>
      </c>
      <c r="I65" s="19">
        <v>7</v>
      </c>
      <c r="J65" s="18">
        <v>7</v>
      </c>
      <c r="K65" s="19">
        <v>7</v>
      </c>
      <c r="L65" s="20">
        <v>2</v>
      </c>
      <c r="M65" s="20">
        <v>2</v>
      </c>
      <c r="N65" s="20">
        <v>1</v>
      </c>
      <c r="O65" s="20">
        <v>2</v>
      </c>
      <c r="P65" s="20">
        <v>2</v>
      </c>
      <c r="Q65" s="20">
        <v>3</v>
      </c>
      <c r="R65" s="21"/>
      <c r="S65" s="21" t="s">
        <v>460</v>
      </c>
      <c r="T65" s="21"/>
      <c r="U65" s="21" t="s">
        <v>461</v>
      </c>
      <c r="V65" s="21" t="s">
        <v>462</v>
      </c>
      <c r="W65" s="21"/>
      <c r="X65" s="21"/>
      <c r="Y65" s="21"/>
      <c r="Z65" s="21" t="s">
        <v>463</v>
      </c>
      <c r="AA65" s="21"/>
      <c r="AB65" s="21">
        <f t="shared" si="2"/>
        <v>4</v>
      </c>
      <c r="AC65" s="17">
        <f t="shared" si="4"/>
        <v>7</v>
      </c>
      <c r="AD65" s="17">
        <f t="shared" si="5"/>
        <v>6.6</v>
      </c>
      <c r="AE65" s="17">
        <f t="shared" si="3"/>
        <v>2</v>
      </c>
      <c r="AF65" s="17">
        <v>28</v>
      </c>
      <c r="AG65" s="17" t="s">
        <v>39</v>
      </c>
      <c r="AH65" s="6" t="s">
        <v>315</v>
      </c>
      <c r="AI65" s="26"/>
      <c r="AJ65" s="26"/>
      <c r="AK65" s="26"/>
      <c r="AL65" s="27"/>
    </row>
    <row r="66" spans="1:38" ht="80" x14ac:dyDescent="0.2">
      <c r="A66" s="16" t="s">
        <v>68</v>
      </c>
      <c r="B66" s="18">
        <v>7</v>
      </c>
      <c r="C66" s="19">
        <v>7</v>
      </c>
      <c r="D66" s="18">
        <v>7</v>
      </c>
      <c r="E66" s="19">
        <v>7</v>
      </c>
      <c r="F66" s="18">
        <v>7</v>
      </c>
      <c r="G66" s="19">
        <v>7</v>
      </c>
      <c r="H66" s="18">
        <v>7</v>
      </c>
      <c r="I66" s="19">
        <v>7</v>
      </c>
      <c r="J66" s="18">
        <v>7</v>
      </c>
      <c r="K66" s="19">
        <v>7</v>
      </c>
      <c r="L66" s="20">
        <v>4</v>
      </c>
      <c r="M66" s="20">
        <v>6</v>
      </c>
      <c r="N66" s="20">
        <v>7</v>
      </c>
      <c r="O66" s="20">
        <v>5</v>
      </c>
      <c r="P66" s="20">
        <v>6</v>
      </c>
      <c r="Q66" s="20">
        <v>4</v>
      </c>
      <c r="R66" s="21" t="s">
        <v>501</v>
      </c>
      <c r="S66" s="21" t="s">
        <v>502</v>
      </c>
      <c r="T66" s="21"/>
      <c r="U66" s="21"/>
      <c r="V66" s="21"/>
      <c r="W66" s="21"/>
      <c r="X66" s="21"/>
      <c r="Y66" s="21"/>
      <c r="Z66" s="21"/>
      <c r="AA66" s="21"/>
      <c r="AB66" s="21">
        <f t="shared" si="2"/>
        <v>2</v>
      </c>
      <c r="AC66" s="17">
        <f t="shared" ref="AC66:AC71" si="6">SUM(B66+D66+F66+H66+J66)/5</f>
        <v>7</v>
      </c>
      <c r="AD66" s="17">
        <f t="shared" ref="AD66:AD71" si="7">SUM(C66+E66+G66+I66+K66)/5</f>
        <v>7</v>
      </c>
      <c r="AE66" s="17">
        <f t="shared" si="3"/>
        <v>5.33</v>
      </c>
      <c r="AF66" s="17">
        <v>29</v>
      </c>
      <c r="AG66" s="17" t="s">
        <v>39</v>
      </c>
      <c r="AH66" s="6" t="s">
        <v>315</v>
      </c>
      <c r="AI66" s="26"/>
      <c r="AJ66" s="26"/>
      <c r="AK66" s="26"/>
      <c r="AL66" s="27"/>
    </row>
    <row r="67" spans="1:38" ht="16" x14ac:dyDescent="0.2">
      <c r="A67" s="16" t="s">
        <v>69</v>
      </c>
      <c r="B67" s="18">
        <v>7</v>
      </c>
      <c r="C67" s="19"/>
      <c r="D67" s="18">
        <v>7</v>
      </c>
      <c r="E67" s="19"/>
      <c r="F67" s="18">
        <v>7</v>
      </c>
      <c r="G67" s="19"/>
      <c r="H67" s="18">
        <v>7</v>
      </c>
      <c r="I67" s="19"/>
      <c r="J67" s="18">
        <v>7</v>
      </c>
      <c r="K67" s="19"/>
      <c r="L67" s="20">
        <v>1</v>
      </c>
      <c r="M67" s="20">
        <v>1</v>
      </c>
      <c r="N67" s="20">
        <v>1</v>
      </c>
      <c r="O67" s="20">
        <v>1</v>
      </c>
      <c r="P67" s="20">
        <v>1</v>
      </c>
      <c r="Q67" s="20">
        <v>1</v>
      </c>
      <c r="R67" s="21"/>
      <c r="S67" s="21"/>
      <c r="T67" s="21"/>
      <c r="U67" s="21"/>
      <c r="V67" s="21"/>
      <c r="W67" s="21"/>
      <c r="X67" s="21"/>
      <c r="Y67" s="21"/>
      <c r="Z67" s="21"/>
      <c r="AA67" s="21"/>
      <c r="AB67" s="21">
        <f t="shared" ref="AB67:AB71" si="8">COUNTA(R67:AA67)</f>
        <v>0</v>
      </c>
      <c r="AC67" s="17">
        <f t="shared" si="6"/>
        <v>7</v>
      </c>
      <c r="AD67" s="17">
        <f t="shared" si="7"/>
        <v>0</v>
      </c>
      <c r="AE67" s="17">
        <f t="shared" ref="AE67:AE71" si="9">ROUND(SUM(L67:Q67)/6, 2)</f>
        <v>1</v>
      </c>
      <c r="AF67" s="17">
        <v>30</v>
      </c>
      <c r="AG67" s="17" t="s">
        <v>39</v>
      </c>
      <c r="AH67" s="6" t="s">
        <v>405</v>
      </c>
      <c r="AI67" s="26"/>
      <c r="AJ67" s="26"/>
      <c r="AK67" s="26"/>
      <c r="AL67" s="27"/>
    </row>
    <row r="68" spans="1:38" ht="176" x14ac:dyDescent="0.2">
      <c r="A68" s="16" t="s">
        <v>34</v>
      </c>
      <c r="B68" s="18">
        <v>7</v>
      </c>
      <c r="C68" s="19">
        <v>7</v>
      </c>
      <c r="D68" s="18">
        <v>7</v>
      </c>
      <c r="E68" s="19">
        <v>7</v>
      </c>
      <c r="F68" s="18">
        <v>7</v>
      </c>
      <c r="G68" s="19">
        <v>7</v>
      </c>
      <c r="H68" s="18">
        <v>7</v>
      </c>
      <c r="I68" s="19">
        <v>7</v>
      </c>
      <c r="J68" s="18">
        <v>7</v>
      </c>
      <c r="K68" s="19">
        <v>5</v>
      </c>
      <c r="L68" s="20">
        <v>5</v>
      </c>
      <c r="M68" s="20">
        <v>6</v>
      </c>
      <c r="N68" s="20">
        <v>5</v>
      </c>
      <c r="O68" s="20">
        <v>4</v>
      </c>
      <c r="P68" s="20">
        <v>7</v>
      </c>
      <c r="Q68" s="20">
        <v>6</v>
      </c>
      <c r="R68" s="21" t="s">
        <v>484</v>
      </c>
      <c r="S68" s="21" t="s">
        <v>485</v>
      </c>
      <c r="T68" s="21" t="s">
        <v>486</v>
      </c>
      <c r="U68" s="21" t="s">
        <v>487</v>
      </c>
      <c r="V68" s="21" t="s">
        <v>488</v>
      </c>
      <c r="W68" s="21" t="s">
        <v>489</v>
      </c>
      <c r="X68" s="21" t="s">
        <v>490</v>
      </c>
      <c r="Y68" s="21"/>
      <c r="Z68" s="21" t="s">
        <v>491</v>
      </c>
      <c r="AA68" s="21"/>
      <c r="AB68" s="21">
        <f t="shared" si="8"/>
        <v>8</v>
      </c>
      <c r="AC68" s="17">
        <f t="shared" si="6"/>
        <v>7</v>
      </c>
      <c r="AD68" s="17">
        <f t="shared" si="7"/>
        <v>6.6</v>
      </c>
      <c r="AE68" s="17">
        <f t="shared" si="9"/>
        <v>5.5</v>
      </c>
      <c r="AF68" s="17">
        <v>31</v>
      </c>
      <c r="AG68" s="17" t="s">
        <v>39</v>
      </c>
      <c r="AH68" s="6" t="s">
        <v>315</v>
      </c>
      <c r="AI68" s="26"/>
      <c r="AJ68" s="26"/>
      <c r="AK68" s="26"/>
      <c r="AL68" s="27"/>
    </row>
    <row r="69" spans="1:38" ht="16" x14ac:dyDescent="0.2">
      <c r="A69" s="16" t="s">
        <v>35</v>
      </c>
      <c r="B69" s="18">
        <v>7</v>
      </c>
      <c r="C69" s="19">
        <v>7</v>
      </c>
      <c r="D69" s="18">
        <v>7</v>
      </c>
      <c r="E69" s="19">
        <v>7</v>
      </c>
      <c r="F69" s="18">
        <v>7</v>
      </c>
      <c r="G69" s="19">
        <v>7</v>
      </c>
      <c r="H69" s="18">
        <v>7</v>
      </c>
      <c r="I69" s="19">
        <v>7</v>
      </c>
      <c r="J69" s="18">
        <v>7</v>
      </c>
      <c r="K69" s="19">
        <v>7</v>
      </c>
      <c r="L69" s="20">
        <v>3</v>
      </c>
      <c r="M69" s="20">
        <v>5</v>
      </c>
      <c r="N69" s="20">
        <v>6</v>
      </c>
      <c r="O69" s="20">
        <v>6</v>
      </c>
      <c r="P69" s="20">
        <v>6</v>
      </c>
      <c r="Q69" s="20">
        <v>7</v>
      </c>
      <c r="R69" s="21"/>
      <c r="S69" s="21"/>
      <c r="T69" s="21"/>
      <c r="U69" s="21"/>
      <c r="V69" s="21"/>
      <c r="W69" s="21"/>
      <c r="X69" s="21"/>
      <c r="Y69" s="21"/>
      <c r="Z69" s="21"/>
      <c r="AA69" s="21"/>
      <c r="AB69" s="21">
        <f t="shared" si="8"/>
        <v>0</v>
      </c>
      <c r="AC69" s="17">
        <f t="shared" si="6"/>
        <v>7</v>
      </c>
      <c r="AD69" s="17">
        <f t="shared" si="7"/>
        <v>7</v>
      </c>
      <c r="AE69" s="17">
        <f t="shared" si="9"/>
        <v>5.5</v>
      </c>
      <c r="AF69" s="17">
        <v>32</v>
      </c>
      <c r="AG69" s="17" t="s">
        <v>39</v>
      </c>
      <c r="AH69" s="6" t="s">
        <v>315</v>
      </c>
      <c r="AI69" s="26"/>
      <c r="AJ69" s="26"/>
      <c r="AK69" s="26"/>
      <c r="AL69" s="27"/>
    </row>
    <row r="70" spans="1:38" ht="16" x14ac:dyDescent="0.2">
      <c r="A70" s="16" t="s">
        <v>36</v>
      </c>
      <c r="B70" s="18">
        <v>7</v>
      </c>
      <c r="C70" s="19">
        <v>7</v>
      </c>
      <c r="D70" s="18">
        <v>7</v>
      </c>
      <c r="E70" s="19">
        <v>7</v>
      </c>
      <c r="F70" s="18">
        <v>7</v>
      </c>
      <c r="G70" s="19">
        <v>7</v>
      </c>
      <c r="H70" s="18">
        <v>7</v>
      </c>
      <c r="I70" s="19">
        <v>7</v>
      </c>
      <c r="J70" s="18">
        <v>7</v>
      </c>
      <c r="K70" s="19">
        <v>7</v>
      </c>
      <c r="L70" s="20">
        <v>4</v>
      </c>
      <c r="M70" s="20">
        <v>6</v>
      </c>
      <c r="N70" s="20">
        <v>4</v>
      </c>
      <c r="O70" s="20">
        <v>6</v>
      </c>
      <c r="P70" s="20">
        <v>6</v>
      </c>
      <c r="Q70" s="20">
        <v>6</v>
      </c>
      <c r="R70" s="21"/>
      <c r="S70" s="21"/>
      <c r="T70" s="21"/>
      <c r="U70" s="21"/>
      <c r="V70" s="21"/>
      <c r="W70" s="21"/>
      <c r="X70" s="21"/>
      <c r="Y70" s="21"/>
      <c r="Z70" s="21"/>
      <c r="AA70" s="21"/>
      <c r="AB70" s="21">
        <f t="shared" si="8"/>
        <v>0</v>
      </c>
      <c r="AC70" s="17">
        <f t="shared" si="6"/>
        <v>7</v>
      </c>
      <c r="AD70" s="17">
        <f t="shared" si="7"/>
        <v>7</v>
      </c>
      <c r="AE70" s="17">
        <f t="shared" si="9"/>
        <v>5.33</v>
      </c>
      <c r="AF70" s="17">
        <v>33</v>
      </c>
      <c r="AG70" s="17" t="s">
        <v>39</v>
      </c>
      <c r="AH70" s="6" t="s">
        <v>315</v>
      </c>
      <c r="AI70" s="26"/>
      <c r="AJ70" s="26"/>
      <c r="AK70" s="26"/>
      <c r="AL70" s="27"/>
    </row>
    <row r="71" spans="1:38" ht="16" x14ac:dyDescent="0.2">
      <c r="A71" s="16" t="s">
        <v>73</v>
      </c>
      <c r="B71" s="18">
        <v>4</v>
      </c>
      <c r="C71" s="19">
        <v>2</v>
      </c>
      <c r="D71" s="18">
        <v>5</v>
      </c>
      <c r="E71" s="19">
        <v>2</v>
      </c>
      <c r="F71" s="18">
        <v>6</v>
      </c>
      <c r="G71" s="19">
        <v>2</v>
      </c>
      <c r="H71" s="18">
        <v>6</v>
      </c>
      <c r="I71" s="19">
        <v>2</v>
      </c>
      <c r="J71" s="18">
        <v>5</v>
      </c>
      <c r="K71" s="19">
        <v>2</v>
      </c>
      <c r="L71" s="20">
        <v>7</v>
      </c>
      <c r="M71" s="20">
        <v>7</v>
      </c>
      <c r="N71" s="20">
        <v>7</v>
      </c>
      <c r="O71" s="20">
        <v>2</v>
      </c>
      <c r="P71" s="20">
        <v>7</v>
      </c>
      <c r="Q71" s="20">
        <v>7</v>
      </c>
      <c r="R71" s="21"/>
      <c r="S71" s="21"/>
      <c r="T71" s="21"/>
      <c r="U71" s="21"/>
      <c r="V71" s="21"/>
      <c r="W71" s="21"/>
      <c r="X71" s="21"/>
      <c r="Y71" s="21"/>
      <c r="Z71" s="21"/>
      <c r="AA71" s="21"/>
      <c r="AB71" s="21">
        <f t="shared" si="8"/>
        <v>0</v>
      </c>
      <c r="AC71" s="17">
        <f t="shared" si="6"/>
        <v>5.2</v>
      </c>
      <c r="AD71" s="17">
        <f t="shared" si="7"/>
        <v>2</v>
      </c>
      <c r="AE71" s="17">
        <f t="shared" si="9"/>
        <v>6.17</v>
      </c>
      <c r="AF71" s="17">
        <v>34</v>
      </c>
      <c r="AG71" s="17" t="s">
        <v>39</v>
      </c>
      <c r="AH71" s="6" t="s">
        <v>315</v>
      </c>
      <c r="AI71" s="26"/>
      <c r="AJ71" s="26"/>
      <c r="AK71" s="26"/>
      <c r="AL71" s="27"/>
    </row>
    <row r="72" spans="1:38" x14ac:dyDescent="0.2">
      <c r="A72" s="2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row>
  </sheetData>
  <pageMargins left="0.75" right="0.75" top="1" bottom="1" header="0.5" footer="0.5"/>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Shay Neveling</cp:lastModifiedBy>
  <cp:lastPrinted>2026-05-14T11:01:58Z</cp:lastPrinted>
  <dcterms:created xsi:type="dcterms:W3CDTF">2026-05-05T12:40:33Z</dcterms:created>
  <dcterms:modified xsi:type="dcterms:W3CDTF">2026-06-09T19:12:13Z</dcterms:modified>
</cp:coreProperties>
</file>